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en Harian" sheetId="2" state="visible" r:id="rId2"/>
    <sheet xmlns:r="http://schemas.openxmlformats.org/officeDocument/2006/relationships" name="Per Zona" sheetId="3" state="visible" r:id="rId3"/>
    <sheet xmlns:r="http://schemas.openxmlformats.org/officeDocument/2006/relationships" name="Per Driver" sheetId="4" state="visible" r:id="rId4"/>
    <sheet xmlns:r="http://schemas.openxmlformats.org/officeDocument/2006/relationships" name="Data" sheetId="5" state="visible" r:id="rId5"/>
    <sheet xmlns:r="http://schemas.openxmlformats.org/officeDocument/2006/relationships" name="Panduan" sheetId="6" state="visible" r:id="rId6"/>
    <sheet xmlns:r="http://schemas.openxmlformats.org/officeDocument/2006/relationships" name="_Lists" sheetId="7" state="hidden" r:id="rId7"/>
  </sheets>
  <definedNames>
    <definedName name="_xlnm.Print_Area" localSheetId="0">'Dashboard'!$A$1:$L$42</definedName>
    <definedName name="_xlnm._FilterDatabase" localSheetId="2" hidden="1">'Per Zona'!$A$4:$H$12</definedName>
    <definedName name="_xlnm._FilterDatabase" localSheetId="4" hidden="1">'Data'!$A$4:$J$362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0.0%"/>
    <numFmt numFmtId="167" formatCode="dd mmm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C9D5E8"/>
      <sz val="10"/>
    </font>
    <font>
      <name val="Arial"/>
      <b val="1"/>
      <color rgb="00FFFFFF"/>
    </font>
    <font>
      <name val="Arial"/>
      <color rgb="0018212F"/>
      <sz val="9"/>
    </font>
    <font>
      <name val="Arial"/>
      <b val="1"/>
      <color rgb="005B677A"/>
      <sz val="9"/>
    </font>
    <font>
      <name val="Arial"/>
      <b val="1"/>
      <color rgb="001565C0"/>
      <sz val="11"/>
    </font>
    <font>
      <name val="Arial"/>
      <b val="1"/>
      <color rgb="000B1F3A"/>
      <sz val="9"/>
    </font>
    <font>
      <name val="Arial"/>
      <i val="1"/>
      <color rgb="005B677A"/>
      <sz val="9"/>
    </font>
    <font>
      <name val="Arial"/>
      <b val="1"/>
      <color rgb="00FFFFFF"/>
      <sz val="10"/>
    </font>
    <font>
      <name val="Arial"/>
      <b val="1"/>
      <color rgb="001565C0"/>
      <sz val="20"/>
    </font>
    <font>
      <name val="Arial"/>
      <b val="1"/>
      <color rgb="002E7D32"/>
      <sz val="20"/>
    </font>
    <font>
      <name val="Arial"/>
      <b val="1"/>
      <color rgb="0000A6A6"/>
      <sz val="20"/>
    </font>
    <font>
      <name val="Arial"/>
      <b val="1"/>
      <color rgb="00C62828"/>
      <sz val="20"/>
    </font>
    <font>
      <name val="Arial"/>
      <i val="1"/>
      <color rgb="007A4B00"/>
      <sz val="9"/>
    </font>
    <font>
      <name val="Arial"/>
      <color rgb="0018212F"/>
      <sz val="10"/>
    </font>
    <font>
      <name val="Arial"/>
      <b val="1"/>
      <color rgb="001565C0"/>
    </font>
  </fonts>
  <fills count="1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565C0"/>
      </patternFill>
    </fill>
    <fill>
      <patternFill patternType="solid">
        <fgColor rgb="00FFF2CC"/>
      </patternFill>
    </fill>
    <fill>
      <patternFill patternType="solid">
        <fgColor rgb="00E8EAF6"/>
      </patternFill>
    </fill>
    <fill>
      <patternFill patternType="solid">
        <fgColor rgb="00EAF1FB"/>
      </patternFill>
    </fill>
    <fill>
      <patternFill patternType="solid">
        <fgColor rgb="002E7D32"/>
      </patternFill>
    </fill>
    <fill>
      <patternFill patternType="solid">
        <fgColor rgb="0000A6A6"/>
      </patternFill>
    </fill>
    <fill>
      <patternFill patternType="solid">
        <fgColor rgb="00C62828"/>
      </patternFill>
    </fill>
    <fill>
      <patternFill patternType="solid">
        <fgColor rgb="00F59E0B"/>
      </patternFill>
    </fill>
    <fill>
      <patternFill patternType="solid">
        <fgColor rgb="005B677A"/>
      </patternFill>
    </fill>
    <fill>
      <patternFill patternType="solid">
        <fgColor rgb="00FFF4E5"/>
      </patternFill>
    </fill>
    <fill>
      <patternFill patternType="solid">
        <fgColor rgb="00F4F7FB"/>
      </patternFill>
    </fill>
  </fills>
  <borders count="6">
    <border>
      <left/>
      <right/>
      <top/>
      <bottom/>
      <diagonal/>
    </border>
    <border>
      <bottom style="medium">
        <color rgb="000B1F3A"/>
      </bottom>
    </border>
    <border>
      <bottom style="hair">
        <color rgb="00D9E2F0"/>
      </bottom>
    </border>
    <border>
      <left style="thin">
        <color rgb="00D9E2F0"/>
      </left>
      <right style="thin">
        <color rgb="00D9E2F0"/>
      </right>
      <top style="thin">
        <color rgb="00D9E2F0"/>
      </top>
      <bottom style="thin">
        <color rgb="00D9E2F0"/>
      </bottom>
    </border>
    <border>
      <left style="medium">
        <color rgb="0000A6A6"/>
      </left>
      <right style="thin">
        <color rgb="00D9E2F0"/>
      </right>
      <top style="thin">
        <color rgb="00D9E2F0"/>
      </top>
      <bottom style="thin">
        <color rgb="00D9E2F0"/>
      </bottom>
    </border>
    <border>
      <bottom style="thin">
        <color rgb="00D9E2F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5" fillId="0" borderId="0" pivotButton="0" quotePrefix="0" xfId="0"/>
    <xf numFmtId="165" fontId="6" fillId="4" borderId="3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7" fillId="5" borderId="4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7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3" fontId="10" fillId="6" borderId="3" applyAlignment="1" pivotButton="0" quotePrefix="0" xfId="0">
      <alignment horizontal="center" vertical="center"/>
    </xf>
    <xf numFmtId="3" fontId="11" fillId="6" borderId="3" applyAlignment="1" pivotButton="0" quotePrefix="0" xfId="0">
      <alignment horizontal="center" vertical="center"/>
    </xf>
    <xf numFmtId="166" fontId="12" fillId="6" borderId="3" applyAlignment="1" pivotButton="0" quotePrefix="0" xfId="0">
      <alignment horizontal="center" vertical="center"/>
    </xf>
    <xf numFmtId="3" fontId="13" fillId="6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167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166" fontId="4" fillId="0" borderId="5" applyAlignment="1" pivotButton="0" quotePrefix="0" xfId="0">
      <alignment horizontal="center"/>
    </xf>
    <xf numFmtId="0" fontId="3" fillId="7" borderId="3" pivotButton="0" quotePrefix="0" xfId="0"/>
    <xf numFmtId="3" fontId="0" fillId="0" borderId="3" pivotButton="0" quotePrefix="0" xfId="0"/>
    <xf numFmtId="0" fontId="3" fillId="10" borderId="3" pivotButton="0" quotePrefix="0" xfId="0"/>
    <xf numFmtId="0" fontId="3" fillId="9" borderId="3" pivotButton="0" quotePrefix="0" xfId="0"/>
    <xf numFmtId="0" fontId="3" fillId="11" borderId="3" pivotButton="0" quotePrefix="0" xfId="0"/>
    <xf numFmtId="0" fontId="14" fillId="12" borderId="3" applyAlignment="1" pivotButton="0" quotePrefix="0" xfId="0">
      <alignment vertical="center" wrapText="1"/>
    </xf>
    <xf numFmtId="165" fontId="15" fillId="0" borderId="5" pivotButton="0" quotePrefix="0" xfId="0"/>
    <xf numFmtId="0" fontId="15" fillId="0" borderId="5" pivotButton="0" quotePrefix="0" xfId="0"/>
    <xf numFmtId="166" fontId="15" fillId="0" borderId="5" pivotButton="0" quotePrefix="0" xfId="0"/>
    <xf numFmtId="0" fontId="16" fillId="0" borderId="0" pivotButton="0" quotePrefix="0" xfId="0"/>
    <xf numFmtId="0" fontId="15" fillId="13" borderId="3" applyAlignment="1" pivotButton="0" quotePrefix="0" xfId="0">
      <alignment vertical="top" wrapText="1"/>
    </xf>
    <xf numFmtId="0" fontId="4" fillId="0" borderId="5" pivotButton="0" quotePrefix="0" xfId="0"/>
    <xf numFmtId="166" fontId="4" fillId="0" borderId="5" pivotButton="0" quotePrefix="0" xfId="0"/>
    <xf numFmtId="165" fontId="4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6" fontId="4" fillId="0" borderId="2" applyAlignment="1" pivotButton="0" quotePrefix="0" xfId="0">
      <alignment vertical="center"/>
    </xf>
    <xf numFmtId="0" fontId="3" fillId="3" borderId="3" pivotButton="0" quotePrefix="0" xfId="0"/>
    <xf numFmtId="0" fontId="15" fillId="0" borderId="3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dan Delivery Rate per Hari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'Dashboard'!C13</f>
              <ns0:strCache xmlns:ns0="http://schemas.openxmlformats.org/drawingml/2006/chart">
                <ns0:ptCount val="1"/>
                <ns0:pt idx="0">
                  <ns0:v>Volume</ns0:v>
                </ns0:pt>
              </ns0: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'Dashboard'!$B$14:$B$21</f>
              <ns0:strCache xmlns:ns0="http://schemas.openxmlformats.org/drawingml/2006/chart">
                <ns0:ptCount val="8"/>
                <ns0:pt idx="0">
                  <ns0:v>01 Oct</ns0:v>
                </ns0:pt>
                <ns0:pt idx="1">
                  <ns0:v>02 Oct</ns0:v>
                </ns0:pt>
                <ns0:pt idx="2">
                  <ns0:v>03 Oct</ns0:v>
                </ns0:pt>
                <ns0:pt idx="3">
                  <ns0:v>04 Oct</ns0:v>
                </ns0:pt>
                <ns0:pt idx="4">
                  <ns0:v>05 Oct</ns0:v>
                </ns0:pt>
                <ns0:pt idx="5">
                  <ns0:v>06 Oct</ns0:v>
                </ns0:pt>
                <ns0:pt idx="6">
                  <ns0:v>07 Oct</ns0:v>
                </ns0:pt>
                <ns0:pt idx="7">
                  <ns0:v>08 Oct</ns0:v>
                </ns0:pt>
              </ns0:strCache>
            </strRef>
          </cat>
          <val>
            <numRef>
              <f>'Dashboard'!$C$14:$C$21</f>
              <ns0:numCache xmlns:ns0="http://schemas.openxmlformats.org/drawingml/2006/chart">
                <ns0:formatCode>General</ns0:formatCode>
                <ns0:ptCount val="8"/>
                <ns0:pt idx="0">
                  <ns0:v>4501</ns0:v>
                </ns0:pt>
                <ns0:pt idx="1">
                  <ns0:v>4857</ns0:v>
                </ns0:pt>
                <ns0:pt idx="2">
                  <ns0:v>4251</ns0:v>
                </ns0:pt>
                <ns0:pt idx="3">
                  <ns0:v>4322</ns0:v>
                </ns0:pt>
                <ns0:pt idx="4">
                  <ns0:v>3369</ns0:v>
                </ns0:pt>
                <ns0:pt idx="5">
                  <ns0:v>5464</ns0:v>
                </ns0:pt>
                <ns0:pt idx="6">
                  <ns0:v>5336</ns0:v>
                </ns0:pt>
                <ns0:pt idx="7">
                  <ns0:v>4732</ns0:v>
                </ns0:pt>
              </ns0:numCache>
            </numRef>
          </val>
        </ser>
        <gapWidth val="45"/>
        <axId val="10"/>
        <axId val="100"/>
      </barChart>
      <lineChart>
        <grouping val="standard"/>
        <ser>
          <idx val="1"/>
          <order val="1"/>
          <tx>
            <strRef>
              <f>'Dashboard'!E13</f>
              <ns0:strCache xmlns:ns0="http://schemas.openxmlformats.org/drawingml/2006/chart">
                <ns0:ptCount val="1"/>
                <ns0:pt idx="0">
                  <ns0:v>Delivery Rate</ns0:v>
                </ns0:pt>
              </ns0:strCache>
            </strRef>
          </tx>
          <spPr>
            <a:ln xmlns:a="http://schemas.openxmlformats.org/drawingml/2006/main" w="25000">
              <a:solidFill>
                <a:srgbClr val="00A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'Dashboard'!$E$14:$E$21</f>
              <ns0:numCache xmlns:ns0="http://schemas.openxmlformats.org/drawingml/2006/chart">
                <ns0:formatCode>0.0%</ns0:formatCode>
                <ns0:ptCount val="8"/>
                <ns0:pt idx="0">
                  <ns0:v>1</ns0:v>
                </ns0:pt>
                <ns0:pt idx="1">
                  <ns0:v>1</ns0:v>
                </ns0:pt>
                <ns0:pt idx="2">
                  <ns0:v>1</ns0:v>
                </ns0:pt>
                <ns0:pt idx="3">
                  <ns0:v>1</ns0:v>
                </ns0:pt>
                <ns0:pt idx="4">
                  <ns0:v>0.999703176016622</ns0:v>
                </ns0:pt>
                <ns0:pt idx="5">
                  <ns0:v>1</ns0:v>
                </ns0:pt>
                <ns0:pt idx="6">
                  <ns0:v>1</ns0:v>
                </ns0:pt>
                <ns0:pt idx="7">
                  <ns0:v>0.438292476754015</ns0:v>
                </ns0:pt>
              </ns0:numCache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Tanggal OFD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Paket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.0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Delivery Rate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Komposisi Status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'Dashboard'!J13</f>
              <ns0:strCache xmlns:ns0="http://schemas.openxmlformats.org/drawingml/2006/chart">
                <ns0:ptCount val="1"/>
                <ns0:pt idx="0">
                  <ns0:v>Jumlah</ns0:v>
                </ns0:pt>
              </ns0: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'Dashboard'!$I$14:$I$17</f>
              <ns0:strCache xmlns:ns0="http://schemas.openxmlformats.org/drawingml/2006/chart">
                <ns0:ptCount val="4"/>
                <ns0:pt idx="0">
                  <ns0:v>Delivered</ns0:v>
                </ns0:pt>
                <ns0:pt idx="1">
                  <ns0:v>Ongoing</ns0:v>
                </ns0:pt>
                <ns0:pt idx="2">
                  <ns0:v>Failed</ns0:v>
                </ns0:pt>
                <ns0:pt idx="3">
                  <ns0:v>Other</ns0:v>
                </ns0:pt>
              </ns0:strCache>
            </strRef>
          </cat>
          <val>
            <numRef>
              <f>'Dashboard'!$J$14:$J$17</f>
              <ns0:numCache xmlns:ns0="http://schemas.openxmlformats.org/drawingml/2006/chart">
                <ns0:formatCode>#,##0</ns0:formatCode>
                <ns0:ptCount val="4"/>
                <ns0:pt idx="0">
                  <ns0:v>34173</ns0:v>
                </ns0:pt>
                <ns0:pt idx="1">
                  <ns0:v>2615</ns0:v>
                </ns0:pt>
                <ns0:pt idx="2">
                  <ns0:v>43</ns0:v>
                </ns0:pt>
                <ns0:pt idx="3">
                  <ns0:v>1</ns0:v>
                </ns0:pt>
              </ns0:numCache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Delivery Rate per Zona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'Per Zona'!G4</f>
              <ns0:strCache xmlns:ns0="http://schemas.openxmlformats.org/drawingml/2006/chart">
                <ns0:ptCount val="1"/>
                <ns0:pt idx="0">
                  <ns0:v>Delivery Rate</ns0:v>
                </ns0:pt>
              </ns0: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'Per Zona'!$A$5:$A$12</f>
              <ns0:strCache xmlns:ns0="http://schemas.openxmlformats.org/drawingml/2006/chart">
                <ns0:ptCount val="8"/>
                <ns0:pt idx="0">
                  <ns0:v>CINERE</ns0:v>
                </ns0:pt>
                <ns0:pt idx="1">
                  <ns0:v>GANDUL</ns0:v>
                </ns0:pt>
                <ns0:pt idx="2">
                  <ns0:v>Grogol</ns0:v>
                </ns0:pt>
                <ns0:pt idx="3">
                  <ns0:v>Krukut</ns0:v>
                </ns0:pt>
                <ns0:pt idx="4">
                  <ns0:v>Limo</ns0:v>
                </ns0:pt>
                <ns0:pt idx="5">
                  <ns0:v>Meruyung</ns0:v>
                </ns0:pt>
                <ns0:pt idx="6">
                  <ns0:v>Pangkalan Jati Baru</ns0:v>
                </ns0:pt>
                <ns0:pt idx="7">
                  <ns0:v>Pangkalan Jati Lama</ns0:v>
                </ns0:pt>
              </ns0:strCache>
            </strRef>
          </cat>
          <val>
            <numRef>
              <f>'Per Zona'!$G$5:$G$12</f>
              <ns0:numCache xmlns:ns0="http://schemas.openxmlformats.org/drawingml/2006/chart">
                <ns0:formatCode>0.0%</ns0:formatCode>
                <ns0:ptCount val="8"/>
                <ns0:pt idx="0">
                  <ns0:v>0.936942124964008</ns0:v>
                </ns0:pt>
                <ns0:pt idx="1">
                  <ns0:v>0.932671673819743</ns0:v>
                </ns0:pt>
                <ns0:pt idx="2">
                  <ns0:v>0.931459707484944</ns0:v>
                </ns0:pt>
                <ns0:pt idx="3">
                  <ns0:v>0.9206206431302</ns0:v>
                </ns0:pt>
                <ns0:pt idx="4">
                  <ns0:v>0.92810650887574</ns0:v>
                </ns0:pt>
                <ns0:pt idx="5">
                  <ns0:v>0.928994082840237</ns0:v>
                </ns0:pt>
                <ns0:pt idx="6">
                  <ns0:v>0.90869939707149</ns0:v>
                </ns0:pt>
                <ns0:pt idx="7">
                  <ns0:v>0.923563218390805</ns0:v>
                </ns0:pt>
              </ns0: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Renzou</author>
  </authors>
  <commentList>
    <comment ref="B4" authorId="0" shapeId="0">
      <text>
        <t>Tanggal awal analisis. Sumber mencakup 1–8 Oktober 2026.</t>
      </text>
    </comment>
    <comment ref="E4" authorId="0" shapeId="0">
      <text>
        <t>Tanggal akhir analisis. 8 Oktober adalah snapshot intraday sekitar 14:23 WIB.</t>
      </text>
    </comment>
    <comment ref="H4" authorId="0" shapeId="0">
      <text>
        <t>Pilih Semua atau satu zona.</t>
      </text>
    </comment>
    <comment ref="K4" authorId="0" shapeId="0">
      <text>
        <t>Pilih Semua atau satu Driver_ID anonim.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5472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3528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river" displayName="tblDriver" ref="A4:I59" headerRowCount="1">
  <autoFilter ref="A4:I59"/>
  <tableColumns count="9">
    <tableColumn id="1" name="Driver ID"/>
    <tableColumn id="2" name="Zona"/>
    <tableColumn id="3" name="Tipe"/>
    <tableColumn id="4" name="Volume"/>
    <tableColumn id="5" name="Delivered"/>
    <tableColumn id="6" name="Ongoing"/>
    <tableColumn id="7" name="Failed"/>
    <tableColumn id="8" name="Other"/>
    <tableColumn id="9" name="Delivery Rate"/>
  </tableColumns>
  <tableStyleInfo name="TableStyleMedium2" showRowStripes="1"/>
</table>
</file>

<file path=xl/tables/table2.xml><?xml version="1.0" encoding="utf-8"?>
<table xmlns="http://schemas.openxmlformats.org/spreadsheetml/2006/main" id="2" name="tblData" displayName="tblData" ref="A4:J362" headerRowCount="1">
  <autoFilter ref="A4:J362"/>
  <tableColumns count="10">
    <tableColumn id="1" name="Tanggal OFD"/>
    <tableColumn id="2" name="Driver ID"/>
    <tableColumn id="3" name="Zona"/>
    <tableColumn id="4" name="Tipe"/>
    <tableColumn id="5" name="Volume"/>
    <tableColumn id="6" name="Delivered"/>
    <tableColumn id="7" name="Ongoing"/>
    <tableColumn id="8" name="Failed"/>
    <tableColumn id="9" name="Other"/>
    <tableColumn id="10" name="Delivery Ra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L42"/>
  <sheetViews>
    <sheetView showGridLines="0"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3" customWidth="1" min="11" max="11"/>
    <col width="13" customWidth="1" min="12" max="12"/>
  </cols>
  <sheetData>
    <row r="1" ht="34" customHeight="1">
      <c r="A1" s="1" t="inlineStr">
        <is>
          <t>DASHBOARD PERFORMA KURIR</t>
        </is>
      </c>
    </row>
    <row r="2" ht="22" customHeight="1">
      <c r="A2" s="2" t="inlineStr">
        <is>
          <t>Portfolio case: pemulihan volume Oktober 2026 | tren OFD 1–8 Oktober | 55 kurir anonim | 8 zona</t>
        </is>
      </c>
    </row>
    <row r="3">
      <c r="B3" s="3" t="inlineStr">
        <is>
          <t>Tanggal mulai</t>
        </is>
      </c>
      <c r="E3" s="3" t="inlineStr">
        <is>
          <t>Tanggal akhir</t>
        </is>
      </c>
      <c r="H3" s="3" t="inlineStr">
        <is>
          <t>Zona</t>
        </is>
      </c>
      <c r="K3" s="3" t="inlineStr">
        <is>
          <t>Driver</t>
        </is>
      </c>
    </row>
    <row r="4">
      <c r="B4" s="4" t="n">
        <v>46296</v>
      </c>
      <c r="E4" s="4" t="n">
        <v>46303</v>
      </c>
      <c r="H4" s="5" t="inlineStr">
        <is>
          <t>Semua</t>
        </is>
      </c>
      <c r="K4" s="5" t="inlineStr">
        <is>
          <t>Semua</t>
        </is>
      </c>
    </row>
    <row r="6" ht="25" customHeight="1">
      <c r="B6" s="6" t="inlineStr">
        <is>
          <t>KONTEKS BISNIS — FASE RECOVERY: September 2026 adalah volume terendah dalam 9 bulan terakhir (di luar masa awal hub) setelah masalah disiplin pengantaran pada Agustus. Oktober digenjot sebagai pemulihan. Driver_ID dengan delivery rate &lt;90%—termasuk DRV_25 pada snapshot ini—menjadi prioritas coaching/investigasi, bukan bukti kausal tunggal.</t>
        </is>
      </c>
    </row>
    <row r="7" ht="25" customHeight="1"/>
    <row r="8">
      <c r="B8" s="7" t="inlineStr">
        <is>
          <t>VOLUME</t>
        </is>
      </c>
      <c r="C8" s="8" t="n"/>
      <c r="E8" s="9" t="inlineStr">
        <is>
          <t>DELIVERED</t>
        </is>
      </c>
      <c r="F8" s="8" t="n"/>
      <c r="H8" s="10" t="inlineStr">
        <is>
          <t>DELIVERY RATE</t>
        </is>
      </c>
      <c r="I8" s="8" t="n"/>
      <c r="K8" s="11" t="inlineStr">
        <is>
          <t>FAILED</t>
        </is>
      </c>
      <c r="L8" s="8" t="n"/>
    </row>
    <row r="9">
      <c r="B9" s="12" t="n">
        <f>SUMIFS(Data!$E$5:$E$362,Data!$A$5:$A$362,"&gt;="&amp;$B$4,Data!$A$5:$A$362,"&lt;="&amp;$E$4,Data!$C$5:$C$362,IF($H$4="Semua","*",$H$4),Data!$B$5:$B$362,IF($K$4="Semua","*",$K$4))</f>
        <v>36832</v>
      </c>
      <c r="C9" s="8" t="n"/>
      <c r="E9" s="13" t="n">
        <f>SUMIFS(Data!$F$5:$F$362,Data!$A$5:$A$362,"&gt;="&amp;$B$4,Data!$A$5:$A$362,"&lt;="&amp;$E$4,Data!$C$5:$C$362,IF($H$4="Semua","*",$H$4),Data!$B$5:$B$362,IF($K$4="Semua","*",$K$4))</f>
        <v>34173</v>
      </c>
      <c r="F9" s="8" t="n"/>
      <c r="H9" s="14" t="n">
        <f>IFERROR(E9/B9,0)</f>
        <v>0.927807341442224</v>
      </c>
      <c r="I9" s="8" t="n"/>
      <c r="K9" s="15" t="n">
        <f>SUMIFS(Data!$H$5:$H$362,Data!$A$5:$A$362,"&gt;="&amp;$B$4,Data!$A$5:$A$362,"&lt;="&amp;$E$4,Data!$C$5:$C$362,IF($H$4="Semua","*",$H$4),Data!$B$5:$B$362,IF($K$4="Semua","*",$K$4))</f>
        <v>43</v>
      </c>
      <c r="L9" s="8" t="n"/>
    </row>
    <row r="10">
      <c r="B10" s="8" t="n"/>
      <c r="C10" s="8" t="n"/>
      <c r="E10" s="8" t="n"/>
      <c r="F10" s="8" t="n"/>
      <c r="H10" s="8" t="n"/>
      <c r="I10" s="8" t="n"/>
      <c r="K10" s="8" t="n"/>
      <c r="L10" s="8" t="n"/>
    </row>
    <row r="12">
      <c r="B12" s="16" t="inlineStr">
        <is>
          <t>Ubah sel kuning untuk menyaring dashboard. Perbandingan zona &amp; driver di tab lain mengikuti rentang tanggal.</t>
        </is>
      </c>
    </row>
    <row r="13" ht="24" customHeight="1">
      <c r="B13" s="17" t="inlineStr">
        <is>
          <t>Tanggal</t>
        </is>
      </c>
      <c r="C13" s="17" t="inlineStr">
        <is>
          <t>Volume</t>
        </is>
      </c>
      <c r="D13" s="17" t="inlineStr">
        <is>
          <t>Delivered</t>
        </is>
      </c>
      <c r="E13" s="17" t="inlineStr">
        <is>
          <t>Delivery Rate</t>
        </is>
      </c>
      <c r="F13" s="17" t="inlineStr">
        <is>
          <t>Ongoing</t>
        </is>
      </c>
      <c r="G13" s="17" t="inlineStr">
        <is>
          <t>Failed</t>
        </is>
      </c>
      <c r="I13" s="17" t="inlineStr">
        <is>
          <t>Status</t>
        </is>
      </c>
      <c r="J13" s="17" t="inlineStr">
        <is>
          <t>Jumlah</t>
        </is>
      </c>
    </row>
    <row r="14">
      <c r="B14" s="18" t="n">
        <v>46296</v>
      </c>
      <c r="C14" s="19" t="n">
        <f>IF(OR($B14&lt;$B$4,$B14&gt;$E$4),"",SUMIFS(Data!$E$5:$E$362,Data!$A$5:$A$362,$B14,Data!$C$5:$C$362,IF($H$4="Semua","*",$H$4),Data!$B$5:$B$362,IF($K$4="Semua","*",$K$4)))</f>
        <v>4501</v>
      </c>
      <c r="D14" s="19" t="n">
        <f>IF($C14="","",SUMIFS(Data!$F$5:$F$362,Data!$A$5:$A$362,$B14,Data!$C$5:$C$362,IF($H$4="Semua","*",$H$4),Data!$B$5:$B$362,IF($K$4="Semua","*",$K$4)))</f>
        <v>4501</v>
      </c>
      <c r="E14" s="20" t="n">
        <f>IFERROR($D14/$C14,"")</f>
        <v>1</v>
      </c>
      <c r="F14" s="19" t="n">
        <f>IF($C14="","",SUMIFS(Data!$G$5:$G$362,Data!$A$5:$A$362,$B14,Data!$C$5:$C$362,IF($H$4="Semua","*",$H$4),Data!$B$5:$B$362,IF($K$4="Semua","*",$K$4)))</f>
        <v>0</v>
      </c>
      <c r="G14" s="19" t="n">
        <f>IF($C14="","",SUMIFS(Data!$H$5:$H$362,Data!$A$5:$A$362,$B14,Data!$C$5:$C$362,IF($H$4="Semua","*",$H$4),Data!$B$5:$B$362,IF($K$4="Semua","*",$K$4)))</f>
        <v>0</v>
      </c>
      <c r="I14" s="21" t="inlineStr">
        <is>
          <t>Delivered</t>
        </is>
      </c>
      <c r="J14" s="22" t="n">
        <f>E9</f>
        <v>34173</v>
      </c>
    </row>
    <row r="15">
      <c r="B15" s="18" t="n">
        <v>46297</v>
      </c>
      <c r="C15" s="19" t="n">
        <f>IF(OR($B15&lt;$B$4,$B15&gt;$E$4),"",SUMIFS(Data!$E$5:$E$362,Data!$A$5:$A$362,$B15,Data!$C$5:$C$362,IF($H$4="Semua","*",$H$4),Data!$B$5:$B$362,IF($K$4="Semua","*",$K$4)))</f>
        <v>4857</v>
      </c>
      <c r="D15" s="19" t="n">
        <f>IF($C15="","",SUMIFS(Data!$F$5:$F$362,Data!$A$5:$A$362,$B15,Data!$C$5:$C$362,IF($H$4="Semua","*",$H$4),Data!$B$5:$B$362,IF($K$4="Semua","*",$K$4)))</f>
        <v>4857</v>
      </c>
      <c r="E15" s="20" t="n">
        <f>IFERROR($D15/$C15,"")</f>
        <v>1</v>
      </c>
      <c r="F15" s="19" t="n">
        <f>IF($C15="","",SUMIFS(Data!$G$5:$G$362,Data!$A$5:$A$362,$B15,Data!$C$5:$C$362,IF($H$4="Semua","*",$H$4),Data!$B$5:$B$362,IF($K$4="Semua","*",$K$4)))</f>
        <v>0</v>
      </c>
      <c r="G15" s="19" t="n">
        <f>IF($C15="","",SUMIFS(Data!$H$5:$H$362,Data!$A$5:$A$362,$B15,Data!$C$5:$C$362,IF($H$4="Semua","*",$H$4),Data!$B$5:$B$362,IF($K$4="Semua","*",$K$4)))</f>
        <v>0</v>
      </c>
      <c r="I15" s="23" t="inlineStr">
        <is>
          <t>Ongoing</t>
        </is>
      </c>
      <c r="J15" s="22" t="n">
        <f>SUMIFS(Data!$G$5:$G$362,Data!$A$5:$A$362,"&gt;="&amp;$B$4,Data!$A$5:$A$362,"&lt;="&amp;$E$4,Data!$C$5:$C$362,IF($H$4="Semua","*",$H$4),Data!$B$5:$B$362,IF($K$4="Semua","*",$K$4))</f>
        <v>2615</v>
      </c>
    </row>
    <row r="16">
      <c r="B16" s="18" t="n">
        <v>46298</v>
      </c>
      <c r="C16" s="19" t="n">
        <f>IF(OR($B16&lt;$B$4,$B16&gt;$E$4),"",SUMIFS(Data!$E$5:$E$362,Data!$A$5:$A$362,$B16,Data!$C$5:$C$362,IF($H$4="Semua","*",$H$4),Data!$B$5:$B$362,IF($K$4="Semua","*",$K$4)))</f>
        <v>4251</v>
      </c>
      <c r="D16" s="19" t="n">
        <f>IF($C16="","",SUMIFS(Data!$F$5:$F$362,Data!$A$5:$A$362,$B16,Data!$C$5:$C$362,IF($H$4="Semua","*",$H$4),Data!$B$5:$B$362,IF($K$4="Semua","*",$K$4)))</f>
        <v>4251</v>
      </c>
      <c r="E16" s="20" t="n">
        <f>IFERROR($D16/$C16,"")</f>
        <v>1</v>
      </c>
      <c r="F16" s="19" t="n">
        <f>IF($C16="","",SUMIFS(Data!$G$5:$G$362,Data!$A$5:$A$362,$B16,Data!$C$5:$C$362,IF($H$4="Semua","*",$H$4),Data!$B$5:$B$362,IF($K$4="Semua","*",$K$4)))</f>
        <v>0</v>
      </c>
      <c r="G16" s="19" t="n">
        <f>IF($C16="","",SUMIFS(Data!$H$5:$H$362,Data!$A$5:$A$362,$B16,Data!$C$5:$C$362,IF($H$4="Semua","*",$H$4),Data!$B$5:$B$362,IF($K$4="Semua","*",$K$4)))</f>
        <v>0</v>
      </c>
      <c r="I16" s="24" t="inlineStr">
        <is>
          <t>Failed</t>
        </is>
      </c>
      <c r="J16" s="22" t="n">
        <f>K9</f>
        <v>43</v>
      </c>
    </row>
    <row r="17">
      <c r="B17" s="18" t="n">
        <v>46299</v>
      </c>
      <c r="C17" s="19" t="n">
        <f>IF(OR($B17&lt;$B$4,$B17&gt;$E$4),"",SUMIFS(Data!$E$5:$E$362,Data!$A$5:$A$362,$B17,Data!$C$5:$C$362,IF($H$4="Semua","*",$H$4),Data!$B$5:$B$362,IF($K$4="Semua","*",$K$4)))</f>
        <v>4322</v>
      </c>
      <c r="D17" s="19" t="n">
        <f>IF($C17="","",SUMIFS(Data!$F$5:$F$362,Data!$A$5:$A$362,$B17,Data!$C$5:$C$362,IF($H$4="Semua","*",$H$4),Data!$B$5:$B$362,IF($K$4="Semua","*",$K$4)))</f>
        <v>4322</v>
      </c>
      <c r="E17" s="20" t="n">
        <f>IFERROR($D17/$C17,"")</f>
        <v>1</v>
      </c>
      <c r="F17" s="19" t="n">
        <f>IF($C17="","",SUMIFS(Data!$G$5:$G$362,Data!$A$5:$A$362,$B17,Data!$C$5:$C$362,IF($H$4="Semua","*",$H$4),Data!$B$5:$B$362,IF($K$4="Semua","*",$K$4)))</f>
        <v>0</v>
      </c>
      <c r="G17" s="19" t="n">
        <f>IF($C17="","",SUMIFS(Data!$H$5:$H$362,Data!$A$5:$A$362,$B17,Data!$C$5:$C$362,IF($H$4="Semua","*",$H$4),Data!$B$5:$B$362,IF($K$4="Semua","*",$K$4)))</f>
        <v>0</v>
      </c>
      <c r="I17" s="25" t="inlineStr">
        <is>
          <t>Other</t>
        </is>
      </c>
      <c r="J17" s="22" t="n">
        <f>SUMIFS(Data!$I$5:$I$362,Data!$A$5:$A$362,"&gt;="&amp;$B$4,Data!$A$5:$A$362,"&lt;="&amp;$E$4,Data!$C$5:$C$362,IF($H$4="Semua","*",$H$4),Data!$B$5:$B$362,IF($K$4="Semua","*",$K$4))</f>
        <v>1</v>
      </c>
    </row>
    <row r="18">
      <c r="B18" s="18" t="n">
        <v>46300</v>
      </c>
      <c r="C18" s="19" t="n">
        <f>IF(OR($B18&lt;$B$4,$B18&gt;$E$4),"",SUMIFS(Data!$E$5:$E$362,Data!$A$5:$A$362,$B18,Data!$C$5:$C$362,IF($H$4="Semua","*",$H$4),Data!$B$5:$B$362,IF($K$4="Semua","*",$K$4)))</f>
        <v>3369</v>
      </c>
      <c r="D18" s="19" t="n">
        <f>IF($C18="","",SUMIFS(Data!$F$5:$F$362,Data!$A$5:$A$362,$B18,Data!$C$5:$C$362,IF($H$4="Semua","*",$H$4),Data!$B$5:$B$362,IF($K$4="Semua","*",$K$4)))</f>
        <v>3368</v>
      </c>
      <c r="E18" s="20" t="n">
        <f>IFERROR($D18/$C18,"")</f>
        <v>0.999703176016622</v>
      </c>
      <c r="F18" s="19" t="n">
        <f>IF($C18="","",SUMIFS(Data!$G$5:$G$362,Data!$A$5:$A$362,$B18,Data!$C$5:$C$362,IF($H$4="Semua","*",$H$4),Data!$B$5:$B$362,IF($K$4="Semua","*",$K$4)))</f>
        <v>0</v>
      </c>
      <c r="G18" s="19" t="n">
        <f>IF($C18="","",SUMIFS(Data!$H$5:$H$362,Data!$A$5:$A$362,$B18,Data!$C$5:$C$362,IF($H$4="Semua","*",$H$4),Data!$B$5:$B$362,IF($K$4="Semua","*",$K$4)))</f>
        <v>0</v>
      </c>
    </row>
    <row r="19">
      <c r="B19" s="18" t="n">
        <v>46301</v>
      </c>
      <c r="C19" s="19" t="n">
        <f>IF(OR($B19&lt;$B$4,$B19&gt;$E$4),"",SUMIFS(Data!$E$5:$E$362,Data!$A$5:$A$362,$B19,Data!$C$5:$C$362,IF($H$4="Semua","*",$H$4),Data!$B$5:$B$362,IF($K$4="Semua","*",$K$4)))</f>
        <v>5464</v>
      </c>
      <c r="D19" s="19" t="n">
        <f>IF($C19="","",SUMIFS(Data!$F$5:$F$362,Data!$A$5:$A$362,$B19,Data!$C$5:$C$362,IF($H$4="Semua","*",$H$4),Data!$B$5:$B$362,IF($K$4="Semua","*",$K$4)))</f>
        <v>5464</v>
      </c>
      <c r="E19" s="20" t="n">
        <f>IFERROR($D19/$C19,"")</f>
        <v>1</v>
      </c>
      <c r="F19" s="19" t="n">
        <f>IF($C19="","",SUMIFS(Data!$G$5:$G$362,Data!$A$5:$A$362,$B19,Data!$C$5:$C$362,IF($H$4="Semua","*",$H$4),Data!$B$5:$B$362,IF($K$4="Semua","*",$K$4)))</f>
        <v>0</v>
      </c>
      <c r="G19" s="19" t="n">
        <f>IF($C19="","",SUMIFS(Data!$H$5:$H$362,Data!$A$5:$A$362,$B19,Data!$C$5:$C$362,IF($H$4="Semua","*",$H$4),Data!$B$5:$B$362,IF($K$4="Semua","*",$K$4)))</f>
        <v>0</v>
      </c>
    </row>
    <row r="20">
      <c r="B20" s="18" t="n">
        <v>46302</v>
      </c>
      <c r="C20" s="19" t="n">
        <f>IF(OR($B20&lt;$B$4,$B20&gt;$E$4),"",SUMIFS(Data!$E$5:$E$362,Data!$A$5:$A$362,$B20,Data!$C$5:$C$362,IF($H$4="Semua","*",$H$4),Data!$B$5:$B$362,IF($K$4="Semua","*",$K$4)))</f>
        <v>5336</v>
      </c>
      <c r="D20" s="19" t="n">
        <f>IF($C20="","",SUMIFS(Data!$F$5:$F$362,Data!$A$5:$A$362,$B20,Data!$C$5:$C$362,IF($H$4="Semua","*",$H$4),Data!$B$5:$B$362,IF($K$4="Semua","*",$K$4)))</f>
        <v>5336</v>
      </c>
      <c r="E20" s="20" t="n">
        <f>IFERROR($D20/$C20,"")</f>
        <v>1</v>
      </c>
      <c r="F20" s="19" t="n">
        <f>IF($C20="","",SUMIFS(Data!$G$5:$G$362,Data!$A$5:$A$362,$B20,Data!$C$5:$C$362,IF($H$4="Semua","*",$H$4),Data!$B$5:$B$362,IF($K$4="Semua","*",$K$4)))</f>
        <v>0</v>
      </c>
      <c r="G20" s="19" t="n">
        <f>IF($C20="","",SUMIFS(Data!$H$5:$H$362,Data!$A$5:$A$362,$B20,Data!$C$5:$C$362,IF($H$4="Semua","*",$H$4),Data!$B$5:$B$362,IF($K$4="Semua","*",$K$4)))</f>
        <v>0</v>
      </c>
    </row>
    <row r="21">
      <c r="B21" s="18" t="n">
        <v>46303</v>
      </c>
      <c r="C21" s="19" t="n">
        <f>IF(OR($B21&lt;$B$4,$B21&gt;$E$4),"",SUMIFS(Data!$E$5:$E$362,Data!$A$5:$A$362,$B21,Data!$C$5:$C$362,IF($H$4="Semua","*",$H$4),Data!$B$5:$B$362,IF($K$4="Semua","*",$K$4)))</f>
        <v>4732</v>
      </c>
      <c r="D21" s="19" t="n">
        <f>IF($C21="","",SUMIFS(Data!$F$5:$F$362,Data!$A$5:$A$362,$B21,Data!$C$5:$C$362,IF($H$4="Semua","*",$H$4),Data!$B$5:$B$362,IF($K$4="Semua","*",$K$4)))</f>
        <v>2074</v>
      </c>
      <c r="E21" s="20" t="n">
        <f>IFERROR($D21/$C21,"")</f>
        <v>0.438292476754015</v>
      </c>
      <c r="F21" s="19" t="n">
        <f>IF($C21="","",SUMIFS(Data!$G$5:$G$362,Data!$A$5:$A$362,$B21,Data!$C$5:$C$362,IF($H$4="Semua","*",$H$4),Data!$B$5:$B$362,IF($K$4="Semua","*",$K$4)))</f>
        <v>2615</v>
      </c>
      <c r="G21" s="19" t="n">
        <f>IF($C21="","",SUMIFS(Data!$H$5:$H$362,Data!$A$5:$A$362,$B21,Data!$C$5:$C$362,IF($H$4="Semua","*",$H$4),Data!$B$5:$B$362,IF($K$4="Semua","*",$K$4)))</f>
        <v>43</v>
      </c>
    </row>
    <row r="41">
      <c r="B41" s="26" t="inlineStr">
        <is>
          <t>CATATAN: status diamati dari export 8 Okt 2026 sekitar 14:23 WIB. Data 1–7 Okt adalah cohort yang sudah sempat matang; 8 Okt masih in-progress. Jangan membandingkan delivery rate antartanggal sebagai snapshot pada jam yang sama.</t>
        </is>
      </c>
    </row>
    <row r="42"/>
  </sheetData>
  <mergeCells count="13">
    <mergeCell ref="K9:L10"/>
    <mergeCell ref="A2:L2"/>
    <mergeCell ref="B12:L12"/>
    <mergeCell ref="K8:L8"/>
    <mergeCell ref="A1:L1"/>
    <mergeCell ref="B41:L42"/>
    <mergeCell ref="H8:I8"/>
    <mergeCell ref="B6:L7"/>
    <mergeCell ref="B8:C8"/>
    <mergeCell ref="B9:C10"/>
    <mergeCell ref="E8:F8"/>
    <mergeCell ref="E9:F10"/>
    <mergeCell ref="H9:I10"/>
  </mergeCells>
  <dataValidations count="3">
    <dataValidation sqref="H4" showDropDown="0" showInputMessage="0" showErrorMessage="0" allowBlank="0" type="list">
      <formula1>'_Lists'!$A$2:$A$10</formula1>
    </dataValidation>
    <dataValidation sqref="K4" showDropDown="0" showInputMessage="0" showErrorMessage="0" allowBlank="0" type="list">
      <formula1>'_Lists'!$B$2:$B$57</formula1>
    </dataValidation>
    <dataValidation sqref="B4 E4" showDropDown="0" showInputMessage="0" showErrorMessage="0" allowBlank="0" type="date" operator="between">
      <formula1>DATE(2026,10,1)</formula1>
      <formula2>DATE(2026,10,8)</formula2>
    </dataValidation>
  </dataValidations>
  <pageMargins left="0.25" right="0.25" top="0.5" bottom="0.5" header="0.5" footer="0.5"/>
  <pageSetup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1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5" customWidth="1" min="7" max="7"/>
    <col width="13" customWidth="1" min="8" max="8"/>
  </cols>
  <sheetData>
    <row r="1" ht="34" customHeight="1">
      <c r="A1" s="1" t="inlineStr">
        <is>
          <t>TREN HARIAN</t>
        </is>
      </c>
    </row>
    <row r="2" ht="22" customHeight="1">
      <c r="A2" s="2" t="inlineStr">
        <is>
          <t>Cohort berdasarkan tanggal OFD; status diamati pada snapshot 8 Oktober 2026.</t>
        </is>
      </c>
    </row>
    <row r="4" ht="24" customHeight="1">
      <c r="A4" s="17" t="inlineStr">
        <is>
          <t>Tanggal OFD</t>
        </is>
      </c>
      <c r="B4" s="17" t="inlineStr">
        <is>
          <t>Volume</t>
        </is>
      </c>
      <c r="C4" s="17" t="inlineStr">
        <is>
          <t>Delivered</t>
        </is>
      </c>
      <c r="D4" s="17" t="inlineStr">
        <is>
          <t>Ongoing</t>
        </is>
      </c>
      <c r="E4" s="17" t="inlineStr">
        <is>
          <t>Failed</t>
        </is>
      </c>
      <c r="F4" s="17" t="inlineStr">
        <is>
          <t>Other</t>
        </is>
      </c>
      <c r="G4" s="17" t="inlineStr">
        <is>
          <t>Delivery Rate</t>
        </is>
      </c>
      <c r="H4" s="17" t="inlineStr">
        <is>
          <t>Failed Rate</t>
        </is>
      </c>
    </row>
    <row r="5">
      <c r="A5" s="27" t="n">
        <v>46296</v>
      </c>
      <c r="B5" s="28" t="n">
        <f>SUMIFS(Data!$E$5:$E$362,Data!$A$5:$A$362,A5)</f>
        <v>4501</v>
      </c>
      <c r="C5" s="28" t="n">
        <f>SUMIFS(Data!$F$5:$F$362,Data!$A$5:$A$362,A5)</f>
        <v>4501</v>
      </c>
      <c r="D5" s="28" t="n">
        <f>SUMIFS(Data!$G$5:$G$362,Data!$A$5:$A$362,A5)</f>
        <v>0</v>
      </c>
      <c r="E5" s="28" t="n">
        <f>SUMIFS(Data!$H$5:$H$362,Data!$A$5:$A$362,A5)</f>
        <v>0</v>
      </c>
      <c r="F5" s="28" t="n">
        <f>SUMIFS(Data!$I$5:$I$362,Data!$A$5:$A$362,A5)</f>
        <v>0</v>
      </c>
      <c r="G5" s="29" t="n">
        <f>IFERROR(C5/B5,0)</f>
        <v>1</v>
      </c>
      <c r="H5" s="29" t="n">
        <f>IFERROR(E5/B5,0)</f>
        <v>0</v>
      </c>
    </row>
    <row r="6">
      <c r="A6" s="27" t="n">
        <v>46297</v>
      </c>
      <c r="B6" s="28" t="n">
        <f>SUMIFS(Data!$E$5:$E$362,Data!$A$5:$A$362,A6)</f>
        <v>4857</v>
      </c>
      <c r="C6" s="28" t="n">
        <f>SUMIFS(Data!$F$5:$F$362,Data!$A$5:$A$362,A6)</f>
        <v>4857</v>
      </c>
      <c r="D6" s="28" t="n">
        <f>SUMIFS(Data!$G$5:$G$362,Data!$A$5:$A$362,A6)</f>
        <v>0</v>
      </c>
      <c r="E6" s="28" t="n">
        <f>SUMIFS(Data!$H$5:$H$362,Data!$A$5:$A$362,A6)</f>
        <v>0</v>
      </c>
      <c r="F6" s="28" t="n">
        <f>SUMIFS(Data!$I$5:$I$362,Data!$A$5:$A$362,A6)</f>
        <v>0</v>
      </c>
      <c r="G6" s="29" t="n">
        <f>IFERROR(C6/B6,0)</f>
        <v>1</v>
      </c>
      <c r="H6" s="29" t="n">
        <f>IFERROR(E6/B6,0)</f>
        <v>0</v>
      </c>
    </row>
    <row r="7">
      <c r="A7" s="27" t="n">
        <v>46298</v>
      </c>
      <c r="B7" s="28" t="n">
        <f>SUMIFS(Data!$E$5:$E$362,Data!$A$5:$A$362,A7)</f>
        <v>4251</v>
      </c>
      <c r="C7" s="28" t="n">
        <f>SUMIFS(Data!$F$5:$F$362,Data!$A$5:$A$362,A7)</f>
        <v>4251</v>
      </c>
      <c r="D7" s="28" t="n">
        <f>SUMIFS(Data!$G$5:$G$362,Data!$A$5:$A$362,A7)</f>
        <v>0</v>
      </c>
      <c r="E7" s="28" t="n">
        <f>SUMIFS(Data!$H$5:$H$362,Data!$A$5:$A$362,A7)</f>
        <v>0</v>
      </c>
      <c r="F7" s="28" t="n">
        <f>SUMIFS(Data!$I$5:$I$362,Data!$A$5:$A$362,A7)</f>
        <v>0</v>
      </c>
      <c r="G7" s="29" t="n">
        <f>IFERROR(C7/B7,0)</f>
        <v>1</v>
      </c>
      <c r="H7" s="29" t="n">
        <f>IFERROR(E7/B7,0)</f>
        <v>0</v>
      </c>
    </row>
    <row r="8">
      <c r="A8" s="27" t="n">
        <v>46299</v>
      </c>
      <c r="B8" s="28" t="n">
        <f>SUMIFS(Data!$E$5:$E$362,Data!$A$5:$A$362,A8)</f>
        <v>4322</v>
      </c>
      <c r="C8" s="28" t="n">
        <f>SUMIFS(Data!$F$5:$F$362,Data!$A$5:$A$362,A8)</f>
        <v>4322</v>
      </c>
      <c r="D8" s="28" t="n">
        <f>SUMIFS(Data!$G$5:$G$362,Data!$A$5:$A$362,A8)</f>
        <v>0</v>
      </c>
      <c r="E8" s="28" t="n">
        <f>SUMIFS(Data!$H$5:$H$362,Data!$A$5:$A$362,A8)</f>
        <v>0</v>
      </c>
      <c r="F8" s="28" t="n">
        <f>SUMIFS(Data!$I$5:$I$362,Data!$A$5:$A$362,A8)</f>
        <v>0</v>
      </c>
      <c r="G8" s="29" t="n">
        <f>IFERROR(C8/B8,0)</f>
        <v>1</v>
      </c>
      <c r="H8" s="29" t="n">
        <f>IFERROR(E8/B8,0)</f>
        <v>0</v>
      </c>
    </row>
    <row r="9">
      <c r="A9" s="27" t="n">
        <v>46300</v>
      </c>
      <c r="B9" s="28" t="n">
        <f>SUMIFS(Data!$E$5:$E$362,Data!$A$5:$A$362,A9)</f>
        <v>3369</v>
      </c>
      <c r="C9" s="28" t="n">
        <f>SUMIFS(Data!$F$5:$F$362,Data!$A$5:$A$362,A9)</f>
        <v>3368</v>
      </c>
      <c r="D9" s="28" t="n">
        <f>SUMIFS(Data!$G$5:$G$362,Data!$A$5:$A$362,A9)</f>
        <v>0</v>
      </c>
      <c r="E9" s="28" t="n">
        <f>SUMIFS(Data!$H$5:$H$362,Data!$A$5:$A$362,A9)</f>
        <v>0</v>
      </c>
      <c r="F9" s="28" t="n">
        <f>SUMIFS(Data!$I$5:$I$362,Data!$A$5:$A$362,A9)</f>
        <v>1</v>
      </c>
      <c r="G9" s="29" t="n">
        <f>IFERROR(C9/B9,0)</f>
        <v>0.999703176016622</v>
      </c>
      <c r="H9" s="29" t="n">
        <f>IFERROR(E9/B9,0)</f>
        <v>0</v>
      </c>
    </row>
    <row r="10">
      <c r="A10" s="27" t="n">
        <v>46301</v>
      </c>
      <c r="B10" s="28" t="n">
        <f>SUMIFS(Data!$E$5:$E$362,Data!$A$5:$A$362,A10)</f>
        <v>5464</v>
      </c>
      <c r="C10" s="28" t="n">
        <f>SUMIFS(Data!$F$5:$F$362,Data!$A$5:$A$362,A10)</f>
        <v>5464</v>
      </c>
      <c r="D10" s="28" t="n">
        <f>SUMIFS(Data!$G$5:$G$362,Data!$A$5:$A$362,A10)</f>
        <v>0</v>
      </c>
      <c r="E10" s="28" t="n">
        <f>SUMIFS(Data!$H$5:$H$362,Data!$A$5:$A$362,A10)</f>
        <v>0</v>
      </c>
      <c r="F10" s="28" t="n">
        <f>SUMIFS(Data!$I$5:$I$362,Data!$A$5:$A$362,A10)</f>
        <v>0</v>
      </c>
      <c r="G10" s="29" t="n">
        <f>IFERROR(C10/B10,0)</f>
        <v>1</v>
      </c>
      <c r="H10" s="29" t="n">
        <f>IFERROR(E10/B10,0)</f>
        <v>0</v>
      </c>
    </row>
    <row r="11">
      <c r="A11" s="27" t="n">
        <v>46302</v>
      </c>
      <c r="B11" s="28" t="n">
        <f>SUMIFS(Data!$E$5:$E$362,Data!$A$5:$A$362,A11)</f>
        <v>5336</v>
      </c>
      <c r="C11" s="28" t="n">
        <f>SUMIFS(Data!$F$5:$F$362,Data!$A$5:$A$362,A11)</f>
        <v>5336</v>
      </c>
      <c r="D11" s="28" t="n">
        <f>SUMIFS(Data!$G$5:$G$362,Data!$A$5:$A$362,A11)</f>
        <v>0</v>
      </c>
      <c r="E11" s="28" t="n">
        <f>SUMIFS(Data!$H$5:$H$362,Data!$A$5:$A$362,A11)</f>
        <v>0</v>
      </c>
      <c r="F11" s="28" t="n">
        <f>SUMIFS(Data!$I$5:$I$362,Data!$A$5:$A$362,A11)</f>
        <v>0</v>
      </c>
      <c r="G11" s="29" t="n">
        <f>IFERROR(C11/B11,0)</f>
        <v>1</v>
      </c>
      <c r="H11" s="29" t="n">
        <f>IFERROR(E11/B11,0)</f>
        <v>0</v>
      </c>
    </row>
    <row r="12">
      <c r="A12" s="27" t="n">
        <v>46303</v>
      </c>
      <c r="B12" s="28" t="n">
        <f>SUMIFS(Data!$E$5:$E$362,Data!$A$5:$A$362,A12)</f>
        <v>4732</v>
      </c>
      <c r="C12" s="28" t="n">
        <f>SUMIFS(Data!$F$5:$F$362,Data!$A$5:$A$362,A12)</f>
        <v>2074</v>
      </c>
      <c r="D12" s="28" t="n">
        <f>SUMIFS(Data!$G$5:$G$362,Data!$A$5:$A$362,A12)</f>
        <v>2615</v>
      </c>
      <c r="E12" s="28" t="n">
        <f>SUMIFS(Data!$H$5:$H$362,Data!$A$5:$A$362,A12)</f>
        <v>43</v>
      </c>
      <c r="F12" s="28" t="n">
        <f>SUMIFS(Data!$I$5:$I$362,Data!$A$5:$A$362,A12)</f>
        <v>0</v>
      </c>
      <c r="G12" s="29" t="n">
        <f>IFERROR(C12/B12,0)</f>
        <v>0.438292476754015</v>
      </c>
      <c r="H12" s="29" t="n">
        <f>IFERROR(E12/B12,0)</f>
        <v>0.00908706677937447</v>
      </c>
    </row>
    <row r="14">
      <c r="A14" s="30" t="inlineStr">
        <is>
          <t>Interpretasi</t>
        </is>
      </c>
    </row>
    <row r="15">
      <c r="A15" s="31" t="inlineStr">
        <is>
          <t>Tanggal 1–7 Oktober hampir seluruhnya telah selesai pada saat export, sedangkan 8 Oktober masih berlangsung. Pola ini menunjukkan cohort aging: semakin lama sejak OFD, semakin besar peluang status sudah final. Untuk evaluasi harian yang adil, gunakan snapshot dengan cut-off jam yang sama.</t>
        </is>
      </c>
    </row>
    <row r="16"/>
    <row r="17"/>
  </sheetData>
  <mergeCells count="3">
    <mergeCell ref="A2:H2"/>
    <mergeCell ref="A15:H17"/>
    <mergeCell ref="A1:H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5" customWidth="1" min="7" max="7"/>
    <col width="13" customWidth="1" min="8" max="8"/>
  </cols>
  <sheetData>
    <row r="1" ht="34" customHeight="1">
      <c r="A1" s="1" t="inlineStr">
        <is>
          <t>PERFORMA PER ZONA</t>
        </is>
      </c>
    </row>
    <row r="2" ht="22" customHeight="1">
      <c r="A2" s="2" t="inlineStr">
        <is>
          <t>Perbandingan mengikuti rentang tanggal di Dashboard; selector zona/driver tidak diterapkan agar semua zona tetap dapat dibandingkan.</t>
        </is>
      </c>
    </row>
    <row r="4" ht="24" customHeight="1">
      <c r="A4" s="17" t="inlineStr">
        <is>
          <t>Zona</t>
        </is>
      </c>
      <c r="B4" s="17" t="inlineStr">
        <is>
          <t>Volume</t>
        </is>
      </c>
      <c r="C4" s="17" t="inlineStr">
        <is>
          <t>Delivered</t>
        </is>
      </c>
      <c r="D4" s="17" t="inlineStr">
        <is>
          <t>Ongoing</t>
        </is>
      </c>
      <c r="E4" s="17" t="inlineStr">
        <is>
          <t>Failed</t>
        </is>
      </c>
      <c r="F4" s="17" t="inlineStr">
        <is>
          <t>Other</t>
        </is>
      </c>
      <c r="G4" s="17" t="inlineStr">
        <is>
          <t>Delivery Rate</t>
        </is>
      </c>
      <c r="H4" s="17" t="inlineStr">
        <is>
          <t>Failed Rate</t>
        </is>
      </c>
    </row>
    <row r="5">
      <c r="A5" s="28" t="inlineStr">
        <is>
          <t>CINERE</t>
        </is>
      </c>
      <c r="B5" s="28" t="n">
        <f>SUMIFS(Data!$E$5:$E$362,Data!$A$5:$A$362,"&gt;="&amp;Dashboard!$B$4,Data!$A$5:$A$362,"&lt;="&amp;Dashboard!$E$4,Data!$C$5:$C$362,$A5)</f>
        <v>6946</v>
      </c>
      <c r="C5" s="28" t="n">
        <f>SUMIFS(Data!$F$5:$F$362,Data!$A$5:$A$362,"&gt;="&amp;Dashboard!$B$4,Data!$A$5:$A$362,"&lt;="&amp;Dashboard!$E$4,Data!$C$5:$C$362,$A5)</f>
        <v>6508</v>
      </c>
      <c r="D5" s="28" t="n">
        <f>SUMIFS(Data!$G$5:$G$362,Data!$A$5:$A$362,"&gt;="&amp;Dashboard!$B$4,Data!$A$5:$A$362,"&lt;="&amp;Dashboard!$E$4,Data!$C$5:$C$362,$A5)</f>
        <v>429</v>
      </c>
      <c r="E5" s="28" t="n">
        <f>SUMIFS(Data!$H$5:$H$362,Data!$A$5:$A$362,"&gt;="&amp;Dashboard!$B$4,Data!$A$5:$A$362,"&lt;="&amp;Dashboard!$E$4,Data!$C$5:$C$362,$A5)</f>
        <v>9</v>
      </c>
      <c r="F5" s="28" t="n">
        <f>SUMIFS(Data!$I$5:$I$362,Data!$A$5:$A$362,"&gt;="&amp;Dashboard!$B$4,Data!$A$5:$A$362,"&lt;="&amp;Dashboard!$E$4,Data!$C$5:$C$362,$A5)</f>
        <v>0</v>
      </c>
      <c r="G5" s="29" t="n">
        <f>IFERROR(C5/B5,0)</f>
        <v>0.936942124964008</v>
      </c>
      <c r="H5" s="29" t="n">
        <f>IFERROR(E5/B5,0)</f>
        <v>0.00129570976101353</v>
      </c>
    </row>
    <row r="6">
      <c r="A6" s="28" t="inlineStr">
        <is>
          <t>GANDUL</t>
        </is>
      </c>
      <c r="B6" s="28" t="n">
        <f>SUMIFS(Data!$E$5:$E$362,Data!$A$5:$A$362,"&gt;="&amp;Dashboard!$B$4,Data!$A$5:$A$362,"&lt;="&amp;Dashboard!$E$4,Data!$C$5:$C$362,$A6)</f>
        <v>3728</v>
      </c>
      <c r="C6" s="28" t="n">
        <f>SUMIFS(Data!$F$5:$F$362,Data!$A$5:$A$362,"&gt;="&amp;Dashboard!$B$4,Data!$A$5:$A$362,"&lt;="&amp;Dashboard!$E$4,Data!$C$5:$C$362,$A6)</f>
        <v>3477</v>
      </c>
      <c r="D6" s="28" t="n">
        <f>SUMIFS(Data!$G$5:$G$362,Data!$A$5:$A$362,"&gt;="&amp;Dashboard!$B$4,Data!$A$5:$A$362,"&lt;="&amp;Dashboard!$E$4,Data!$C$5:$C$362,$A6)</f>
        <v>250</v>
      </c>
      <c r="E6" s="28" t="n">
        <f>SUMIFS(Data!$H$5:$H$362,Data!$A$5:$A$362,"&gt;="&amp;Dashboard!$B$4,Data!$A$5:$A$362,"&lt;="&amp;Dashboard!$E$4,Data!$C$5:$C$362,$A6)</f>
        <v>0</v>
      </c>
      <c r="F6" s="28" t="n">
        <f>SUMIFS(Data!$I$5:$I$362,Data!$A$5:$A$362,"&gt;="&amp;Dashboard!$B$4,Data!$A$5:$A$362,"&lt;="&amp;Dashboard!$E$4,Data!$C$5:$C$362,$A6)</f>
        <v>1</v>
      </c>
      <c r="G6" s="29" t="n">
        <f>IFERROR(C6/B6,0)</f>
        <v>0.932671673819743</v>
      </c>
      <c r="H6" s="29" t="n">
        <f>IFERROR(E6/B6,0)</f>
        <v>0</v>
      </c>
    </row>
    <row r="7">
      <c r="A7" s="28" t="inlineStr">
        <is>
          <t>Grogol</t>
        </is>
      </c>
      <c r="B7" s="28" t="n">
        <f>SUMIFS(Data!$E$5:$E$362,Data!$A$5:$A$362,"&gt;="&amp;Dashboard!$B$4,Data!$A$5:$A$362,"&lt;="&amp;Dashboard!$E$4,Data!$C$5:$C$362,$A7)</f>
        <v>6974</v>
      </c>
      <c r="C7" s="28" t="n">
        <f>SUMIFS(Data!$F$5:$F$362,Data!$A$5:$A$362,"&gt;="&amp;Dashboard!$B$4,Data!$A$5:$A$362,"&lt;="&amp;Dashboard!$E$4,Data!$C$5:$C$362,$A7)</f>
        <v>6496</v>
      </c>
      <c r="D7" s="28" t="n">
        <f>SUMIFS(Data!$G$5:$G$362,Data!$A$5:$A$362,"&gt;="&amp;Dashboard!$B$4,Data!$A$5:$A$362,"&lt;="&amp;Dashboard!$E$4,Data!$C$5:$C$362,$A7)</f>
        <v>467</v>
      </c>
      <c r="E7" s="28" t="n">
        <f>SUMIFS(Data!$H$5:$H$362,Data!$A$5:$A$362,"&gt;="&amp;Dashboard!$B$4,Data!$A$5:$A$362,"&lt;="&amp;Dashboard!$E$4,Data!$C$5:$C$362,$A7)</f>
        <v>11</v>
      </c>
      <c r="F7" s="28" t="n">
        <f>SUMIFS(Data!$I$5:$I$362,Data!$A$5:$A$362,"&gt;="&amp;Dashboard!$B$4,Data!$A$5:$A$362,"&lt;="&amp;Dashboard!$E$4,Data!$C$5:$C$362,$A7)</f>
        <v>0</v>
      </c>
      <c r="G7" s="29" t="n">
        <f>IFERROR(C7/B7,0)</f>
        <v>0.931459707484944</v>
      </c>
      <c r="H7" s="29" t="n">
        <f>IFERROR(E7/B7,0)</f>
        <v>0.00157728706624606</v>
      </c>
    </row>
    <row r="8">
      <c r="A8" s="28" t="inlineStr">
        <is>
          <t>Krukut</t>
        </is>
      </c>
      <c r="B8" s="28" t="n">
        <f>SUMIFS(Data!$E$5:$E$362,Data!$A$5:$A$362,"&gt;="&amp;Dashboard!$B$4,Data!$A$5:$A$362,"&lt;="&amp;Dashboard!$E$4,Data!$C$5:$C$362,$A8)</f>
        <v>4447</v>
      </c>
      <c r="C8" s="28" t="n">
        <f>SUMIFS(Data!$F$5:$F$362,Data!$A$5:$A$362,"&gt;="&amp;Dashboard!$B$4,Data!$A$5:$A$362,"&lt;="&amp;Dashboard!$E$4,Data!$C$5:$C$362,$A8)</f>
        <v>4094</v>
      </c>
      <c r="D8" s="28" t="n">
        <f>SUMIFS(Data!$G$5:$G$362,Data!$A$5:$A$362,"&gt;="&amp;Dashboard!$B$4,Data!$A$5:$A$362,"&lt;="&amp;Dashboard!$E$4,Data!$C$5:$C$362,$A8)</f>
        <v>345</v>
      </c>
      <c r="E8" s="28" t="n">
        <f>SUMIFS(Data!$H$5:$H$362,Data!$A$5:$A$362,"&gt;="&amp;Dashboard!$B$4,Data!$A$5:$A$362,"&lt;="&amp;Dashboard!$E$4,Data!$C$5:$C$362,$A8)</f>
        <v>8</v>
      </c>
      <c r="F8" s="28" t="n">
        <f>SUMIFS(Data!$I$5:$I$362,Data!$A$5:$A$362,"&gt;="&amp;Dashboard!$B$4,Data!$A$5:$A$362,"&lt;="&amp;Dashboard!$E$4,Data!$C$5:$C$362,$A8)</f>
        <v>0</v>
      </c>
      <c r="G8" s="29" t="n">
        <f>IFERROR(C8/B8,0)</f>
        <v>0.9206206431302</v>
      </c>
      <c r="H8" s="29" t="n">
        <f>IFERROR(E8/B8,0)</f>
        <v>0.001798965594783</v>
      </c>
    </row>
    <row r="9">
      <c r="A9" s="28" t="inlineStr">
        <is>
          <t>Limo</t>
        </is>
      </c>
      <c r="B9" s="28" t="n">
        <f>SUMIFS(Data!$E$5:$E$362,Data!$A$5:$A$362,"&gt;="&amp;Dashboard!$B$4,Data!$A$5:$A$362,"&lt;="&amp;Dashboard!$E$4,Data!$C$5:$C$362,$A9)</f>
        <v>3380</v>
      </c>
      <c r="C9" s="28" t="n">
        <f>SUMIFS(Data!$F$5:$F$362,Data!$A$5:$A$362,"&gt;="&amp;Dashboard!$B$4,Data!$A$5:$A$362,"&lt;="&amp;Dashboard!$E$4,Data!$C$5:$C$362,$A9)</f>
        <v>3137</v>
      </c>
      <c r="D9" s="28" t="n">
        <f>SUMIFS(Data!$G$5:$G$362,Data!$A$5:$A$362,"&gt;="&amp;Dashboard!$B$4,Data!$A$5:$A$362,"&lt;="&amp;Dashboard!$E$4,Data!$C$5:$C$362,$A9)</f>
        <v>237</v>
      </c>
      <c r="E9" s="28" t="n">
        <f>SUMIFS(Data!$H$5:$H$362,Data!$A$5:$A$362,"&gt;="&amp;Dashboard!$B$4,Data!$A$5:$A$362,"&lt;="&amp;Dashboard!$E$4,Data!$C$5:$C$362,$A9)</f>
        <v>6</v>
      </c>
      <c r="F9" s="28" t="n">
        <f>SUMIFS(Data!$I$5:$I$362,Data!$A$5:$A$362,"&gt;="&amp;Dashboard!$B$4,Data!$A$5:$A$362,"&lt;="&amp;Dashboard!$E$4,Data!$C$5:$C$362,$A9)</f>
        <v>0</v>
      </c>
      <c r="G9" s="29" t="n">
        <f>IFERROR(C9/B9,0)</f>
        <v>0.92810650887574</v>
      </c>
      <c r="H9" s="29" t="n">
        <f>IFERROR(E9/B9,0)</f>
        <v>0.00177514792899408</v>
      </c>
    </row>
    <row r="10">
      <c r="A10" s="28" t="inlineStr">
        <is>
          <t>Meruyung</t>
        </is>
      </c>
      <c r="B10" s="28" t="n">
        <f>SUMIFS(Data!$E$5:$E$362,Data!$A$5:$A$362,"&gt;="&amp;Dashboard!$B$4,Data!$A$5:$A$362,"&lt;="&amp;Dashboard!$E$4,Data!$C$5:$C$362,$A10)</f>
        <v>4394</v>
      </c>
      <c r="C10" s="28" t="n">
        <f>SUMIFS(Data!$F$5:$F$362,Data!$A$5:$A$362,"&gt;="&amp;Dashboard!$B$4,Data!$A$5:$A$362,"&lt;="&amp;Dashboard!$E$4,Data!$C$5:$C$362,$A10)</f>
        <v>4082</v>
      </c>
      <c r="D10" s="28" t="n">
        <f>SUMIFS(Data!$G$5:$G$362,Data!$A$5:$A$362,"&gt;="&amp;Dashboard!$B$4,Data!$A$5:$A$362,"&lt;="&amp;Dashboard!$E$4,Data!$C$5:$C$362,$A10)</f>
        <v>304</v>
      </c>
      <c r="E10" s="28" t="n">
        <f>SUMIFS(Data!$H$5:$H$362,Data!$A$5:$A$362,"&gt;="&amp;Dashboard!$B$4,Data!$A$5:$A$362,"&lt;="&amp;Dashboard!$E$4,Data!$C$5:$C$362,$A10)</f>
        <v>8</v>
      </c>
      <c r="F10" s="28" t="n">
        <f>SUMIFS(Data!$I$5:$I$362,Data!$A$5:$A$362,"&gt;="&amp;Dashboard!$B$4,Data!$A$5:$A$362,"&lt;="&amp;Dashboard!$E$4,Data!$C$5:$C$362,$A10)</f>
        <v>0</v>
      </c>
      <c r="G10" s="29" t="n">
        <f>IFERROR(C10/B10,0)</f>
        <v>0.928994082840237</v>
      </c>
      <c r="H10" s="29" t="n">
        <f>IFERROR(E10/B10,0)</f>
        <v>0.00182066454255803</v>
      </c>
    </row>
    <row r="11">
      <c r="A11" s="28" t="inlineStr">
        <is>
          <t>Pangkalan Jati Baru</t>
        </is>
      </c>
      <c r="B11" s="28" t="n">
        <f>SUMIFS(Data!$E$5:$E$362,Data!$A$5:$A$362,"&gt;="&amp;Dashboard!$B$4,Data!$A$5:$A$362,"&lt;="&amp;Dashboard!$E$4,Data!$C$5:$C$362,$A11)</f>
        <v>3483</v>
      </c>
      <c r="C11" s="28" t="n">
        <f>SUMIFS(Data!$F$5:$F$362,Data!$A$5:$A$362,"&gt;="&amp;Dashboard!$B$4,Data!$A$5:$A$362,"&lt;="&amp;Dashboard!$E$4,Data!$C$5:$C$362,$A11)</f>
        <v>3165</v>
      </c>
      <c r="D11" s="28" t="n">
        <f>SUMIFS(Data!$G$5:$G$362,Data!$A$5:$A$362,"&gt;="&amp;Dashboard!$B$4,Data!$A$5:$A$362,"&lt;="&amp;Dashboard!$E$4,Data!$C$5:$C$362,$A11)</f>
        <v>317</v>
      </c>
      <c r="E11" s="28" t="n">
        <f>SUMIFS(Data!$H$5:$H$362,Data!$A$5:$A$362,"&gt;="&amp;Dashboard!$B$4,Data!$A$5:$A$362,"&lt;="&amp;Dashboard!$E$4,Data!$C$5:$C$362,$A11)</f>
        <v>1</v>
      </c>
      <c r="F11" s="28" t="n">
        <f>SUMIFS(Data!$I$5:$I$362,Data!$A$5:$A$362,"&gt;="&amp;Dashboard!$B$4,Data!$A$5:$A$362,"&lt;="&amp;Dashboard!$E$4,Data!$C$5:$C$362,$A11)</f>
        <v>0</v>
      </c>
      <c r="G11" s="29" t="n">
        <f>IFERROR(C11/B11,0)</f>
        <v>0.90869939707149</v>
      </c>
      <c r="H11" s="29" t="n">
        <f>IFERROR(E11/B11,0)</f>
        <v>0.000287108814240597</v>
      </c>
    </row>
    <row r="12">
      <c r="A12" s="28" t="inlineStr">
        <is>
          <t>Pangkalan Jati Lama</t>
        </is>
      </c>
      <c r="B12" s="28" t="n">
        <f>SUMIFS(Data!$E$5:$E$362,Data!$A$5:$A$362,"&gt;="&amp;Dashboard!$B$4,Data!$A$5:$A$362,"&lt;="&amp;Dashboard!$E$4,Data!$C$5:$C$362,$A12)</f>
        <v>3480</v>
      </c>
      <c r="C12" s="28" t="n">
        <f>SUMIFS(Data!$F$5:$F$362,Data!$A$5:$A$362,"&gt;="&amp;Dashboard!$B$4,Data!$A$5:$A$362,"&lt;="&amp;Dashboard!$E$4,Data!$C$5:$C$362,$A12)</f>
        <v>3214</v>
      </c>
      <c r="D12" s="28" t="n">
        <f>SUMIFS(Data!$G$5:$G$362,Data!$A$5:$A$362,"&gt;="&amp;Dashboard!$B$4,Data!$A$5:$A$362,"&lt;="&amp;Dashboard!$E$4,Data!$C$5:$C$362,$A12)</f>
        <v>266</v>
      </c>
      <c r="E12" s="28" t="n">
        <f>SUMIFS(Data!$H$5:$H$362,Data!$A$5:$A$362,"&gt;="&amp;Dashboard!$B$4,Data!$A$5:$A$362,"&lt;="&amp;Dashboard!$E$4,Data!$C$5:$C$362,$A12)</f>
        <v>0</v>
      </c>
      <c r="F12" s="28" t="n">
        <f>SUMIFS(Data!$I$5:$I$362,Data!$A$5:$A$362,"&gt;="&amp;Dashboard!$B$4,Data!$A$5:$A$362,"&lt;="&amp;Dashboard!$E$4,Data!$C$5:$C$362,$A12)</f>
        <v>0</v>
      </c>
      <c r="G12" s="29" t="n">
        <f>IFERROR(C12/B12,0)</f>
        <v>0.923563218390805</v>
      </c>
      <c r="H12" s="29" t="n">
        <f>IFERROR(E12/B12,0)</f>
        <v>0</v>
      </c>
    </row>
  </sheetData>
  <autoFilter ref="A4:H12"/>
  <mergeCells count="2">
    <mergeCell ref="A2:H2"/>
    <mergeCell ref="A1:H1"/>
  </mergeCells>
  <conditionalFormatting sqref="G5:G12">
    <cfRule type="colorScale" priority="1">
      <colorScale>
        <cfvo type="min"/>
        <cfvo type="percentile" val="50"/>
        <cfvo type="max"/>
        <color rgb="00FADBD8"/>
        <color rgb="00FFF2CC"/>
        <color rgb="00C6EFCE"/>
      </colorScale>
    </cfRule>
  </conditionalFormatting>
  <conditionalFormatting sqref="B5:B12">
    <cfRule type="dataBar" priority="2">
      <dataBar showValue="1">
        <cfvo type="num" val="0"/>
        <cfvo type="max"/>
        <color rgb="001565C0"/>
      </dataBar>
    </cfRule>
  </conditionalFormatting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I5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9" customWidth="1" min="3" max="3"/>
    <col width="11" customWidth="1" min="4" max="4"/>
    <col width="12" customWidth="1" min="5" max="5"/>
    <col width="11" customWidth="1" min="6" max="6"/>
    <col width="10" customWidth="1" min="7" max="7"/>
    <col width="9" customWidth="1" min="8" max="8"/>
    <col width="15" customWidth="1" min="9" max="9"/>
  </cols>
  <sheetData>
    <row r="1" ht="34" customHeight="1">
      <c r="A1" s="1" t="inlineStr">
        <is>
          <t>PERFORMA PER DRIVER</t>
        </is>
      </c>
    </row>
    <row r="2" ht="22" customHeight="1">
      <c r="A2" s="2" t="inlineStr">
        <is>
          <t>55 Driver_ID anonim; data mengikuti rentang tanggal di Dashboard. Gunakan filter tabel untuk eksplorasi zona dan tipe.</t>
        </is>
      </c>
    </row>
    <row r="4" ht="24" customHeight="1">
      <c r="A4" s="17" t="inlineStr">
        <is>
          <t>Driver ID</t>
        </is>
      </c>
      <c r="B4" s="17" t="inlineStr">
        <is>
          <t>Zona</t>
        </is>
      </c>
      <c r="C4" s="17" t="inlineStr">
        <is>
          <t>Tipe</t>
        </is>
      </c>
      <c r="D4" s="17" t="inlineStr">
        <is>
          <t>Volume</t>
        </is>
      </c>
      <c r="E4" s="17" t="inlineStr">
        <is>
          <t>Delivered</t>
        </is>
      </c>
      <c r="F4" s="17" t="inlineStr">
        <is>
          <t>Ongoing</t>
        </is>
      </c>
      <c r="G4" s="17" t="inlineStr">
        <is>
          <t>Failed</t>
        </is>
      </c>
      <c r="H4" s="17" t="inlineStr">
        <is>
          <t>Other</t>
        </is>
      </c>
      <c r="I4" s="17" t="inlineStr">
        <is>
          <t>Delivery Rate</t>
        </is>
      </c>
    </row>
    <row r="5">
      <c r="A5" s="32" t="inlineStr">
        <is>
          <t>DRV_07</t>
        </is>
      </c>
      <c r="B5" s="32" t="inlineStr">
        <is>
          <t>CINERE</t>
        </is>
      </c>
      <c r="C5" s="32" t="inlineStr">
        <is>
          <t>Mitra LM 2W</t>
        </is>
      </c>
      <c r="D5" s="32" t="n">
        <f>SUMIFS(Data!$E$5:$E$362,Data!$A$5:$A$362,"&gt;="&amp;Dashboard!$B$4,Data!$A$5:$A$362,"&lt;="&amp;Dashboard!$E$4,Data!$B$5:$B$362,$A5)</f>
        <v>546</v>
      </c>
      <c r="E5" s="32" t="n">
        <f>SUMIFS(Data!$F$5:$F$362,Data!$A$5:$A$362,"&gt;="&amp;Dashboard!$B$4,Data!$A$5:$A$362,"&lt;="&amp;Dashboard!$E$4,Data!$B$5:$B$362,$A5)</f>
        <v>546</v>
      </c>
      <c r="F5" s="32" t="n">
        <f>SUMIFS(Data!$G$5:$G$362,Data!$A$5:$A$362,"&gt;="&amp;Dashboard!$B$4,Data!$A$5:$A$362,"&lt;="&amp;Dashboard!$E$4,Data!$B$5:$B$362,$A5)</f>
        <v>0</v>
      </c>
      <c r="G5" s="32" t="n">
        <f>SUMIFS(Data!$H$5:$H$362,Data!$A$5:$A$362,"&gt;="&amp;Dashboard!$B$4,Data!$A$5:$A$362,"&lt;="&amp;Dashboard!$E$4,Data!$B$5:$B$362,$A5)</f>
        <v>0</v>
      </c>
      <c r="H5" s="32" t="n">
        <f>SUMIFS(Data!$I$5:$I$362,Data!$A$5:$A$362,"&gt;="&amp;Dashboard!$B$4,Data!$A$5:$A$362,"&lt;="&amp;Dashboard!$E$4,Data!$B$5:$B$362,$A5)</f>
        <v>0</v>
      </c>
      <c r="I5" s="33" t="n">
        <f>IF(D5=0,"",E5/D5)</f>
        <v>1</v>
      </c>
    </row>
    <row r="6">
      <c r="A6" s="32" t="inlineStr">
        <is>
          <t>DRV_08</t>
        </is>
      </c>
      <c r="B6" s="32" t="inlineStr">
        <is>
          <t>CINERE</t>
        </is>
      </c>
      <c r="C6" s="32" t="inlineStr">
        <is>
          <t>Mitra LM 2W</t>
        </is>
      </c>
      <c r="D6" s="32" t="n">
        <f>SUMIFS(Data!$E$5:$E$362,Data!$A$5:$A$362,"&gt;="&amp;Dashboard!$B$4,Data!$A$5:$A$362,"&lt;="&amp;Dashboard!$E$4,Data!$B$5:$B$362,$A6)</f>
        <v>466</v>
      </c>
      <c r="E6" s="32" t="n">
        <f>SUMIFS(Data!$F$5:$F$362,Data!$A$5:$A$362,"&gt;="&amp;Dashboard!$B$4,Data!$A$5:$A$362,"&lt;="&amp;Dashboard!$E$4,Data!$B$5:$B$362,$A6)</f>
        <v>409</v>
      </c>
      <c r="F6" s="32" t="n">
        <f>SUMIFS(Data!$G$5:$G$362,Data!$A$5:$A$362,"&gt;="&amp;Dashboard!$B$4,Data!$A$5:$A$362,"&lt;="&amp;Dashboard!$E$4,Data!$B$5:$B$362,$A6)</f>
        <v>56</v>
      </c>
      <c r="G6" s="32" t="n">
        <f>SUMIFS(Data!$H$5:$H$362,Data!$A$5:$A$362,"&gt;="&amp;Dashboard!$B$4,Data!$A$5:$A$362,"&lt;="&amp;Dashboard!$E$4,Data!$B$5:$B$362,$A6)</f>
        <v>1</v>
      </c>
      <c r="H6" s="32" t="n">
        <f>SUMIFS(Data!$I$5:$I$362,Data!$A$5:$A$362,"&gt;="&amp;Dashboard!$B$4,Data!$A$5:$A$362,"&lt;="&amp;Dashboard!$E$4,Data!$B$5:$B$362,$A6)</f>
        <v>0</v>
      </c>
      <c r="I6" s="33" t="n">
        <f>IF(D6=0,"",E6/D6)</f>
        <v>0.877682403433476</v>
      </c>
    </row>
    <row r="7">
      <c r="A7" s="32" t="inlineStr">
        <is>
          <t>DRV_13</t>
        </is>
      </c>
      <c r="B7" s="32" t="inlineStr">
        <is>
          <t>CINERE</t>
        </is>
      </c>
      <c r="C7" s="32" t="inlineStr">
        <is>
          <t>Mitra LM 2W</t>
        </is>
      </c>
      <c r="D7" s="32" t="n">
        <f>SUMIFS(Data!$E$5:$E$362,Data!$A$5:$A$362,"&gt;="&amp;Dashboard!$B$4,Data!$A$5:$A$362,"&lt;="&amp;Dashboard!$E$4,Data!$B$5:$B$362,$A7)</f>
        <v>430</v>
      </c>
      <c r="E7" s="32" t="n">
        <f>SUMIFS(Data!$F$5:$F$362,Data!$A$5:$A$362,"&gt;="&amp;Dashboard!$B$4,Data!$A$5:$A$362,"&lt;="&amp;Dashboard!$E$4,Data!$B$5:$B$362,$A7)</f>
        <v>377</v>
      </c>
      <c r="F7" s="32" t="n">
        <f>SUMIFS(Data!$G$5:$G$362,Data!$A$5:$A$362,"&gt;="&amp;Dashboard!$B$4,Data!$A$5:$A$362,"&lt;="&amp;Dashboard!$E$4,Data!$B$5:$B$362,$A7)</f>
        <v>52</v>
      </c>
      <c r="G7" s="32" t="n">
        <f>SUMIFS(Data!$H$5:$H$362,Data!$A$5:$A$362,"&gt;="&amp;Dashboard!$B$4,Data!$A$5:$A$362,"&lt;="&amp;Dashboard!$E$4,Data!$B$5:$B$362,$A7)</f>
        <v>1</v>
      </c>
      <c r="H7" s="32" t="n">
        <f>SUMIFS(Data!$I$5:$I$362,Data!$A$5:$A$362,"&gt;="&amp;Dashboard!$B$4,Data!$A$5:$A$362,"&lt;="&amp;Dashboard!$E$4,Data!$B$5:$B$362,$A7)</f>
        <v>0</v>
      </c>
      <c r="I7" s="33" t="n">
        <f>IF(D7=0,"",E7/D7)</f>
        <v>0.876744186046512</v>
      </c>
    </row>
    <row r="8">
      <c r="A8" s="32" t="inlineStr">
        <is>
          <t>DRV_14</t>
        </is>
      </c>
      <c r="B8" s="32" t="inlineStr">
        <is>
          <t>CINERE</t>
        </is>
      </c>
      <c r="C8" s="32" t="inlineStr">
        <is>
          <t>Dedicated LM 2W</t>
        </is>
      </c>
      <c r="D8" s="32" t="n">
        <f>SUMIFS(Data!$E$5:$E$362,Data!$A$5:$A$362,"&gt;="&amp;Dashboard!$B$4,Data!$A$5:$A$362,"&lt;="&amp;Dashboard!$E$4,Data!$B$5:$B$362,$A8)</f>
        <v>940</v>
      </c>
      <c r="E8" s="32" t="n">
        <f>SUMIFS(Data!$F$5:$F$362,Data!$A$5:$A$362,"&gt;="&amp;Dashboard!$B$4,Data!$A$5:$A$362,"&lt;="&amp;Dashboard!$E$4,Data!$B$5:$B$362,$A8)</f>
        <v>876</v>
      </c>
      <c r="F8" s="32" t="n">
        <f>SUMIFS(Data!$G$5:$G$362,Data!$A$5:$A$362,"&gt;="&amp;Dashboard!$B$4,Data!$A$5:$A$362,"&lt;="&amp;Dashboard!$E$4,Data!$B$5:$B$362,$A8)</f>
        <v>64</v>
      </c>
      <c r="G8" s="32" t="n">
        <f>SUMIFS(Data!$H$5:$H$362,Data!$A$5:$A$362,"&gt;="&amp;Dashboard!$B$4,Data!$A$5:$A$362,"&lt;="&amp;Dashboard!$E$4,Data!$B$5:$B$362,$A8)</f>
        <v>0</v>
      </c>
      <c r="H8" s="32" t="n">
        <f>SUMIFS(Data!$I$5:$I$362,Data!$A$5:$A$362,"&gt;="&amp;Dashboard!$B$4,Data!$A$5:$A$362,"&lt;="&amp;Dashboard!$E$4,Data!$B$5:$B$362,$A8)</f>
        <v>0</v>
      </c>
      <c r="I8" s="33" t="n">
        <f>IF(D8=0,"",E8/D8)</f>
        <v>0.931914893617021</v>
      </c>
    </row>
    <row r="9">
      <c r="A9" s="32" t="inlineStr">
        <is>
          <t>DRV_25</t>
        </is>
      </c>
      <c r="B9" s="32" t="inlineStr">
        <is>
          <t>CINERE</t>
        </is>
      </c>
      <c r="C9" s="32" t="inlineStr">
        <is>
          <t>Mitra LM 2W</t>
        </is>
      </c>
      <c r="D9" s="32" t="n">
        <f>SUMIFS(Data!$E$5:$E$362,Data!$A$5:$A$362,"&gt;="&amp;Dashboard!$B$4,Data!$A$5:$A$362,"&lt;="&amp;Dashboard!$E$4,Data!$B$5:$B$362,$A9)</f>
        <v>400</v>
      </c>
      <c r="E9" s="32" t="n">
        <f>SUMIFS(Data!$F$5:$F$362,Data!$A$5:$A$362,"&gt;="&amp;Dashboard!$B$4,Data!$A$5:$A$362,"&lt;="&amp;Dashboard!$E$4,Data!$B$5:$B$362,$A9)</f>
        <v>347</v>
      </c>
      <c r="F9" s="32" t="n">
        <f>SUMIFS(Data!$G$5:$G$362,Data!$A$5:$A$362,"&gt;="&amp;Dashboard!$B$4,Data!$A$5:$A$362,"&lt;="&amp;Dashboard!$E$4,Data!$B$5:$B$362,$A9)</f>
        <v>52</v>
      </c>
      <c r="G9" s="32" t="n">
        <f>SUMIFS(Data!$H$5:$H$362,Data!$A$5:$A$362,"&gt;="&amp;Dashboard!$B$4,Data!$A$5:$A$362,"&lt;="&amp;Dashboard!$E$4,Data!$B$5:$B$362,$A9)</f>
        <v>1</v>
      </c>
      <c r="H9" s="32" t="n">
        <f>SUMIFS(Data!$I$5:$I$362,Data!$A$5:$A$362,"&gt;="&amp;Dashboard!$B$4,Data!$A$5:$A$362,"&lt;="&amp;Dashboard!$E$4,Data!$B$5:$B$362,$A9)</f>
        <v>0</v>
      </c>
      <c r="I9" s="33" t="n">
        <f>IF(D9=0,"",E9/D9)</f>
        <v>0.8675</v>
      </c>
    </row>
    <row r="10">
      <c r="A10" s="32" t="inlineStr">
        <is>
          <t>DRV_29</t>
        </is>
      </c>
      <c r="B10" s="32" t="inlineStr">
        <is>
          <t>CINERE</t>
        </is>
      </c>
      <c r="C10" s="32" t="inlineStr">
        <is>
          <t>Mitra LM 2W</t>
        </is>
      </c>
      <c r="D10" s="32" t="n">
        <f>SUMIFS(Data!$E$5:$E$362,Data!$A$5:$A$362,"&gt;="&amp;Dashboard!$B$4,Data!$A$5:$A$362,"&lt;="&amp;Dashboard!$E$4,Data!$B$5:$B$362,$A10)</f>
        <v>478</v>
      </c>
      <c r="E10" s="32" t="n">
        <f>SUMIFS(Data!$F$5:$F$362,Data!$A$5:$A$362,"&gt;="&amp;Dashboard!$B$4,Data!$A$5:$A$362,"&lt;="&amp;Dashboard!$E$4,Data!$B$5:$B$362,$A10)</f>
        <v>476</v>
      </c>
      <c r="F10" s="32" t="n">
        <f>SUMIFS(Data!$G$5:$G$362,Data!$A$5:$A$362,"&gt;="&amp;Dashboard!$B$4,Data!$A$5:$A$362,"&lt;="&amp;Dashboard!$E$4,Data!$B$5:$B$362,$A10)</f>
        <v>1</v>
      </c>
      <c r="G10" s="32" t="n">
        <f>SUMIFS(Data!$H$5:$H$362,Data!$A$5:$A$362,"&gt;="&amp;Dashboard!$B$4,Data!$A$5:$A$362,"&lt;="&amp;Dashboard!$E$4,Data!$B$5:$B$362,$A10)</f>
        <v>1</v>
      </c>
      <c r="H10" s="32" t="n">
        <f>SUMIFS(Data!$I$5:$I$362,Data!$A$5:$A$362,"&gt;="&amp;Dashboard!$B$4,Data!$A$5:$A$362,"&lt;="&amp;Dashboard!$E$4,Data!$B$5:$B$362,$A10)</f>
        <v>0</v>
      </c>
      <c r="I10" s="33" t="n">
        <f>IF(D10=0,"",E10/D10)</f>
        <v>0.99581589958159</v>
      </c>
    </row>
    <row r="11">
      <c r="A11" s="32" t="inlineStr">
        <is>
          <t>DRV_32</t>
        </is>
      </c>
      <c r="B11" s="32" t="inlineStr">
        <is>
          <t>CINERE</t>
        </is>
      </c>
      <c r="C11" s="32" t="inlineStr">
        <is>
          <t>Mitra LM 2W</t>
        </is>
      </c>
      <c r="D11" s="32" t="n">
        <f>SUMIFS(Data!$E$5:$E$362,Data!$A$5:$A$362,"&gt;="&amp;Dashboard!$B$4,Data!$A$5:$A$362,"&lt;="&amp;Dashboard!$E$4,Data!$B$5:$B$362,$A11)</f>
        <v>668</v>
      </c>
      <c r="E11" s="32" t="n">
        <f>SUMIFS(Data!$F$5:$F$362,Data!$A$5:$A$362,"&gt;="&amp;Dashboard!$B$4,Data!$A$5:$A$362,"&lt;="&amp;Dashboard!$E$4,Data!$B$5:$B$362,$A11)</f>
        <v>666</v>
      </c>
      <c r="F11" s="32" t="n">
        <f>SUMIFS(Data!$G$5:$G$362,Data!$A$5:$A$362,"&gt;="&amp;Dashboard!$B$4,Data!$A$5:$A$362,"&lt;="&amp;Dashboard!$E$4,Data!$B$5:$B$362,$A11)</f>
        <v>0</v>
      </c>
      <c r="G11" s="32" t="n">
        <f>SUMIFS(Data!$H$5:$H$362,Data!$A$5:$A$362,"&gt;="&amp;Dashboard!$B$4,Data!$A$5:$A$362,"&lt;="&amp;Dashboard!$E$4,Data!$B$5:$B$362,$A11)</f>
        <v>2</v>
      </c>
      <c r="H11" s="32" t="n">
        <f>SUMIFS(Data!$I$5:$I$362,Data!$A$5:$A$362,"&gt;="&amp;Dashboard!$B$4,Data!$A$5:$A$362,"&lt;="&amp;Dashboard!$E$4,Data!$B$5:$B$362,$A11)</f>
        <v>0</v>
      </c>
      <c r="I11" s="33" t="n">
        <f>IF(D11=0,"",E11/D11)</f>
        <v>0.997005988023952</v>
      </c>
    </row>
    <row r="12">
      <c r="A12" s="32" t="inlineStr">
        <is>
          <t>DRV_33</t>
        </is>
      </c>
      <c r="B12" s="32" t="inlineStr">
        <is>
          <t>CINERE</t>
        </is>
      </c>
      <c r="C12" s="32" t="inlineStr">
        <is>
          <t>Dedicated LM 2W</t>
        </is>
      </c>
      <c r="D12" s="32" t="n">
        <f>SUMIFS(Data!$E$5:$E$362,Data!$A$5:$A$362,"&gt;="&amp;Dashboard!$B$4,Data!$A$5:$A$362,"&lt;="&amp;Dashboard!$E$4,Data!$B$5:$B$362,$A12)</f>
        <v>922</v>
      </c>
      <c r="E12" s="32" t="n">
        <f>SUMIFS(Data!$F$5:$F$362,Data!$A$5:$A$362,"&gt;="&amp;Dashboard!$B$4,Data!$A$5:$A$362,"&lt;="&amp;Dashboard!$E$4,Data!$B$5:$B$362,$A12)</f>
        <v>854</v>
      </c>
      <c r="F12" s="32" t="n">
        <f>SUMIFS(Data!$G$5:$G$362,Data!$A$5:$A$362,"&gt;="&amp;Dashboard!$B$4,Data!$A$5:$A$362,"&lt;="&amp;Dashboard!$E$4,Data!$B$5:$B$362,$A12)</f>
        <v>68</v>
      </c>
      <c r="G12" s="32" t="n">
        <f>SUMIFS(Data!$H$5:$H$362,Data!$A$5:$A$362,"&gt;="&amp;Dashboard!$B$4,Data!$A$5:$A$362,"&lt;="&amp;Dashboard!$E$4,Data!$B$5:$B$362,$A12)</f>
        <v>0</v>
      </c>
      <c r="H12" s="32" t="n">
        <f>SUMIFS(Data!$I$5:$I$362,Data!$A$5:$A$362,"&gt;="&amp;Dashboard!$B$4,Data!$A$5:$A$362,"&lt;="&amp;Dashboard!$E$4,Data!$B$5:$B$362,$A12)</f>
        <v>0</v>
      </c>
      <c r="I12" s="33" t="n">
        <f>IF(D12=0,"",E12/D12)</f>
        <v>0.926247288503254</v>
      </c>
    </row>
    <row r="13">
      <c r="A13" s="32" t="inlineStr">
        <is>
          <t>DRV_35</t>
        </is>
      </c>
      <c r="B13" s="32" t="inlineStr">
        <is>
          <t>CINERE</t>
        </is>
      </c>
      <c r="C13" s="32" t="inlineStr">
        <is>
          <t>Dedicated LM 2W</t>
        </is>
      </c>
      <c r="D13" s="32" t="n">
        <f>SUMIFS(Data!$E$5:$E$362,Data!$A$5:$A$362,"&gt;="&amp;Dashboard!$B$4,Data!$A$5:$A$362,"&lt;="&amp;Dashboard!$E$4,Data!$B$5:$B$362,$A13)</f>
        <v>959</v>
      </c>
      <c r="E13" s="32" t="n">
        <f>SUMIFS(Data!$F$5:$F$362,Data!$A$5:$A$362,"&gt;="&amp;Dashboard!$B$4,Data!$A$5:$A$362,"&lt;="&amp;Dashboard!$E$4,Data!$B$5:$B$362,$A13)</f>
        <v>909</v>
      </c>
      <c r="F13" s="32" t="n">
        <f>SUMIFS(Data!$G$5:$G$362,Data!$A$5:$A$362,"&gt;="&amp;Dashboard!$B$4,Data!$A$5:$A$362,"&lt;="&amp;Dashboard!$E$4,Data!$B$5:$B$362,$A13)</f>
        <v>50</v>
      </c>
      <c r="G13" s="32" t="n">
        <f>SUMIFS(Data!$H$5:$H$362,Data!$A$5:$A$362,"&gt;="&amp;Dashboard!$B$4,Data!$A$5:$A$362,"&lt;="&amp;Dashboard!$E$4,Data!$B$5:$B$362,$A13)</f>
        <v>0</v>
      </c>
      <c r="H13" s="32" t="n">
        <f>SUMIFS(Data!$I$5:$I$362,Data!$A$5:$A$362,"&gt;="&amp;Dashboard!$B$4,Data!$A$5:$A$362,"&lt;="&amp;Dashboard!$E$4,Data!$B$5:$B$362,$A13)</f>
        <v>0</v>
      </c>
      <c r="I13" s="33" t="n">
        <f>IF(D13=0,"",E13/D13)</f>
        <v>0.947862356621481</v>
      </c>
    </row>
    <row r="14">
      <c r="A14" s="32" t="inlineStr">
        <is>
          <t>DRV_36</t>
        </is>
      </c>
      <c r="B14" s="32" t="inlineStr">
        <is>
          <t>CINERE</t>
        </is>
      </c>
      <c r="C14" s="32" t="inlineStr">
        <is>
          <t>Mitra LM 2W</t>
        </is>
      </c>
      <c r="D14" s="32" t="n">
        <f>SUMIFS(Data!$E$5:$E$362,Data!$A$5:$A$362,"&gt;="&amp;Dashboard!$B$4,Data!$A$5:$A$362,"&lt;="&amp;Dashboard!$E$4,Data!$B$5:$B$362,$A14)</f>
        <v>703</v>
      </c>
      <c r="E14" s="32" t="n">
        <f>SUMIFS(Data!$F$5:$F$362,Data!$A$5:$A$362,"&gt;="&amp;Dashboard!$B$4,Data!$A$5:$A$362,"&lt;="&amp;Dashboard!$E$4,Data!$B$5:$B$362,$A14)</f>
        <v>656</v>
      </c>
      <c r="F14" s="32" t="n">
        <f>SUMIFS(Data!$G$5:$G$362,Data!$A$5:$A$362,"&gt;="&amp;Dashboard!$B$4,Data!$A$5:$A$362,"&lt;="&amp;Dashboard!$E$4,Data!$B$5:$B$362,$A14)</f>
        <v>47</v>
      </c>
      <c r="G14" s="32" t="n">
        <f>SUMIFS(Data!$H$5:$H$362,Data!$A$5:$A$362,"&gt;="&amp;Dashboard!$B$4,Data!$A$5:$A$362,"&lt;="&amp;Dashboard!$E$4,Data!$B$5:$B$362,$A14)</f>
        <v>0</v>
      </c>
      <c r="H14" s="32" t="n">
        <f>SUMIFS(Data!$I$5:$I$362,Data!$A$5:$A$362,"&gt;="&amp;Dashboard!$B$4,Data!$A$5:$A$362,"&lt;="&amp;Dashboard!$E$4,Data!$B$5:$B$362,$A14)</f>
        <v>0</v>
      </c>
      <c r="I14" s="33" t="n">
        <f>IF(D14=0,"",E14/D14)</f>
        <v>0.933143669985775</v>
      </c>
    </row>
    <row r="15">
      <c r="A15" s="32" t="inlineStr">
        <is>
          <t>DRV_55</t>
        </is>
      </c>
      <c r="B15" s="32" t="inlineStr">
        <is>
          <t>CINERE</t>
        </is>
      </c>
      <c r="C15" s="32" t="inlineStr">
        <is>
          <t>Mitra LM 2W</t>
        </is>
      </c>
      <c r="D15" s="32" t="n">
        <f>SUMIFS(Data!$E$5:$E$362,Data!$A$5:$A$362,"&gt;="&amp;Dashboard!$B$4,Data!$A$5:$A$362,"&lt;="&amp;Dashboard!$E$4,Data!$B$5:$B$362,$A15)</f>
        <v>434</v>
      </c>
      <c r="E15" s="32" t="n">
        <f>SUMIFS(Data!$F$5:$F$362,Data!$A$5:$A$362,"&gt;="&amp;Dashboard!$B$4,Data!$A$5:$A$362,"&lt;="&amp;Dashboard!$E$4,Data!$B$5:$B$362,$A15)</f>
        <v>392</v>
      </c>
      <c r="F15" s="32" t="n">
        <f>SUMIFS(Data!$G$5:$G$362,Data!$A$5:$A$362,"&gt;="&amp;Dashboard!$B$4,Data!$A$5:$A$362,"&lt;="&amp;Dashboard!$E$4,Data!$B$5:$B$362,$A15)</f>
        <v>39</v>
      </c>
      <c r="G15" s="32" t="n">
        <f>SUMIFS(Data!$H$5:$H$362,Data!$A$5:$A$362,"&gt;="&amp;Dashboard!$B$4,Data!$A$5:$A$362,"&lt;="&amp;Dashboard!$E$4,Data!$B$5:$B$362,$A15)</f>
        <v>3</v>
      </c>
      <c r="H15" s="32" t="n">
        <f>SUMIFS(Data!$I$5:$I$362,Data!$A$5:$A$362,"&gt;="&amp;Dashboard!$B$4,Data!$A$5:$A$362,"&lt;="&amp;Dashboard!$E$4,Data!$B$5:$B$362,$A15)</f>
        <v>0</v>
      </c>
      <c r="I15" s="33" t="n">
        <f>IF(D15=0,"",E15/D15)</f>
        <v>0.903225806451613</v>
      </c>
    </row>
    <row r="16">
      <c r="A16" s="32" t="inlineStr">
        <is>
          <t>DRV_05</t>
        </is>
      </c>
      <c r="B16" s="32" t="inlineStr">
        <is>
          <t>GANDUL</t>
        </is>
      </c>
      <c r="C16" s="32" t="inlineStr">
        <is>
          <t>Mitra LM 2W</t>
        </is>
      </c>
      <c r="D16" s="32" t="n">
        <f>SUMIFS(Data!$E$5:$E$362,Data!$A$5:$A$362,"&gt;="&amp;Dashboard!$B$4,Data!$A$5:$A$362,"&lt;="&amp;Dashboard!$E$4,Data!$B$5:$B$362,$A16)</f>
        <v>548</v>
      </c>
      <c r="E16" s="32" t="n">
        <f>SUMIFS(Data!$F$5:$F$362,Data!$A$5:$A$362,"&gt;="&amp;Dashboard!$B$4,Data!$A$5:$A$362,"&lt;="&amp;Dashboard!$E$4,Data!$B$5:$B$362,$A16)</f>
        <v>484</v>
      </c>
      <c r="F16" s="32" t="n">
        <f>SUMIFS(Data!$G$5:$G$362,Data!$A$5:$A$362,"&gt;="&amp;Dashboard!$B$4,Data!$A$5:$A$362,"&lt;="&amp;Dashboard!$E$4,Data!$B$5:$B$362,$A16)</f>
        <v>64</v>
      </c>
      <c r="G16" s="32" t="n">
        <f>SUMIFS(Data!$H$5:$H$362,Data!$A$5:$A$362,"&gt;="&amp;Dashboard!$B$4,Data!$A$5:$A$362,"&lt;="&amp;Dashboard!$E$4,Data!$B$5:$B$362,$A16)</f>
        <v>0</v>
      </c>
      <c r="H16" s="32" t="n">
        <f>SUMIFS(Data!$I$5:$I$362,Data!$A$5:$A$362,"&gt;="&amp;Dashboard!$B$4,Data!$A$5:$A$362,"&lt;="&amp;Dashboard!$E$4,Data!$B$5:$B$362,$A16)</f>
        <v>0</v>
      </c>
      <c r="I16" s="33" t="n">
        <f>IF(D16=0,"",E16/D16)</f>
        <v>0.883211678832117</v>
      </c>
    </row>
    <row r="17">
      <c r="A17" s="32" t="inlineStr">
        <is>
          <t>DRV_03</t>
        </is>
      </c>
      <c r="B17" s="32" t="inlineStr">
        <is>
          <t>GANDUL</t>
        </is>
      </c>
      <c r="C17" s="32" t="inlineStr">
        <is>
          <t>Mitra LM 2W</t>
        </is>
      </c>
      <c r="D17" s="32" t="n">
        <f>SUMIFS(Data!$E$5:$E$362,Data!$A$5:$A$362,"&gt;="&amp;Dashboard!$B$4,Data!$A$5:$A$362,"&lt;="&amp;Dashboard!$E$4,Data!$B$5:$B$362,$A17)</f>
        <v>805</v>
      </c>
      <c r="E17" s="32" t="n">
        <f>SUMIFS(Data!$F$5:$F$362,Data!$A$5:$A$362,"&gt;="&amp;Dashboard!$B$4,Data!$A$5:$A$362,"&lt;="&amp;Dashboard!$E$4,Data!$B$5:$B$362,$A17)</f>
        <v>729</v>
      </c>
      <c r="F17" s="32" t="n">
        <f>SUMIFS(Data!$G$5:$G$362,Data!$A$5:$A$362,"&gt;="&amp;Dashboard!$B$4,Data!$A$5:$A$362,"&lt;="&amp;Dashboard!$E$4,Data!$B$5:$B$362,$A17)</f>
        <v>76</v>
      </c>
      <c r="G17" s="32" t="n">
        <f>SUMIFS(Data!$H$5:$H$362,Data!$A$5:$A$362,"&gt;="&amp;Dashboard!$B$4,Data!$A$5:$A$362,"&lt;="&amp;Dashboard!$E$4,Data!$B$5:$B$362,$A17)</f>
        <v>0</v>
      </c>
      <c r="H17" s="32" t="n">
        <f>SUMIFS(Data!$I$5:$I$362,Data!$A$5:$A$362,"&gt;="&amp;Dashboard!$B$4,Data!$A$5:$A$362,"&lt;="&amp;Dashboard!$E$4,Data!$B$5:$B$362,$A17)</f>
        <v>0</v>
      </c>
      <c r="I17" s="33" t="n">
        <f>IF(D17=0,"",E17/D17)</f>
        <v>0.905590062111801</v>
      </c>
    </row>
    <row r="18">
      <c r="A18" s="32" t="inlineStr">
        <is>
          <t>DRV_24</t>
        </is>
      </c>
      <c r="B18" s="32" t="inlineStr">
        <is>
          <t>GANDUL</t>
        </is>
      </c>
      <c r="C18" s="32" t="inlineStr">
        <is>
          <t>Mitra LM 2W</t>
        </is>
      </c>
      <c r="D18" s="32" t="n">
        <f>SUMIFS(Data!$E$5:$E$362,Data!$A$5:$A$362,"&gt;="&amp;Dashboard!$B$4,Data!$A$5:$A$362,"&lt;="&amp;Dashboard!$E$4,Data!$B$5:$B$362,$A18)</f>
        <v>871</v>
      </c>
      <c r="E18" s="32" t="n">
        <f>SUMIFS(Data!$F$5:$F$362,Data!$A$5:$A$362,"&gt;="&amp;Dashboard!$B$4,Data!$A$5:$A$362,"&lt;="&amp;Dashboard!$E$4,Data!$B$5:$B$362,$A18)</f>
        <v>806</v>
      </c>
      <c r="F18" s="32" t="n">
        <f>SUMIFS(Data!$G$5:$G$362,Data!$A$5:$A$362,"&gt;="&amp;Dashboard!$B$4,Data!$A$5:$A$362,"&lt;="&amp;Dashboard!$E$4,Data!$B$5:$B$362,$A18)</f>
        <v>65</v>
      </c>
      <c r="G18" s="32" t="n">
        <f>SUMIFS(Data!$H$5:$H$362,Data!$A$5:$A$362,"&gt;="&amp;Dashboard!$B$4,Data!$A$5:$A$362,"&lt;="&amp;Dashboard!$E$4,Data!$B$5:$B$362,$A18)</f>
        <v>0</v>
      </c>
      <c r="H18" s="32" t="n">
        <f>SUMIFS(Data!$I$5:$I$362,Data!$A$5:$A$362,"&gt;="&amp;Dashboard!$B$4,Data!$A$5:$A$362,"&lt;="&amp;Dashboard!$E$4,Data!$B$5:$B$362,$A18)</f>
        <v>0</v>
      </c>
      <c r="I18" s="33" t="n">
        <f>IF(D18=0,"",E18/D18)</f>
        <v>0.925373134328358</v>
      </c>
    </row>
    <row r="19">
      <c r="A19" s="32" t="inlineStr">
        <is>
          <t>DRV_51</t>
        </is>
      </c>
      <c r="B19" s="32" t="inlineStr">
        <is>
          <t>GANDUL</t>
        </is>
      </c>
      <c r="C19" s="32" t="inlineStr">
        <is>
          <t>Mitra LM 2W</t>
        </is>
      </c>
      <c r="D19" s="32" t="n">
        <f>SUMIFS(Data!$E$5:$E$362,Data!$A$5:$A$362,"&gt;="&amp;Dashboard!$B$4,Data!$A$5:$A$362,"&lt;="&amp;Dashboard!$E$4,Data!$B$5:$B$362,$A19)</f>
        <v>583</v>
      </c>
      <c r="E19" s="32" t="n">
        <f>SUMIFS(Data!$F$5:$F$362,Data!$A$5:$A$362,"&gt;="&amp;Dashboard!$B$4,Data!$A$5:$A$362,"&lt;="&amp;Dashboard!$E$4,Data!$B$5:$B$362,$A19)</f>
        <v>582</v>
      </c>
      <c r="F19" s="32" t="n">
        <f>SUMIFS(Data!$G$5:$G$362,Data!$A$5:$A$362,"&gt;="&amp;Dashboard!$B$4,Data!$A$5:$A$362,"&lt;="&amp;Dashboard!$E$4,Data!$B$5:$B$362,$A19)</f>
        <v>0</v>
      </c>
      <c r="G19" s="32" t="n">
        <f>SUMIFS(Data!$H$5:$H$362,Data!$A$5:$A$362,"&gt;="&amp;Dashboard!$B$4,Data!$A$5:$A$362,"&lt;="&amp;Dashboard!$E$4,Data!$B$5:$B$362,$A19)</f>
        <v>0</v>
      </c>
      <c r="H19" s="32" t="n">
        <f>SUMIFS(Data!$I$5:$I$362,Data!$A$5:$A$362,"&gt;="&amp;Dashboard!$B$4,Data!$A$5:$A$362,"&lt;="&amp;Dashboard!$E$4,Data!$B$5:$B$362,$A19)</f>
        <v>1</v>
      </c>
      <c r="I19" s="33" t="n">
        <f>IF(D19=0,"",E19/D19)</f>
        <v>0.998284734133791</v>
      </c>
    </row>
    <row r="20">
      <c r="A20" s="32" t="inlineStr">
        <is>
          <t>DRV_54</t>
        </is>
      </c>
      <c r="B20" s="32" t="inlineStr">
        <is>
          <t>GANDUL</t>
        </is>
      </c>
      <c r="C20" s="32" t="inlineStr">
        <is>
          <t>Dedicated LM 2W</t>
        </is>
      </c>
      <c r="D20" s="32" t="n">
        <f>SUMIFS(Data!$E$5:$E$362,Data!$A$5:$A$362,"&gt;="&amp;Dashboard!$B$4,Data!$A$5:$A$362,"&lt;="&amp;Dashboard!$E$4,Data!$B$5:$B$362,$A20)</f>
        <v>921</v>
      </c>
      <c r="E20" s="32" t="n">
        <f>SUMIFS(Data!$F$5:$F$362,Data!$A$5:$A$362,"&gt;="&amp;Dashboard!$B$4,Data!$A$5:$A$362,"&lt;="&amp;Dashboard!$E$4,Data!$B$5:$B$362,$A20)</f>
        <v>876</v>
      </c>
      <c r="F20" s="32" t="n">
        <f>SUMIFS(Data!$G$5:$G$362,Data!$A$5:$A$362,"&gt;="&amp;Dashboard!$B$4,Data!$A$5:$A$362,"&lt;="&amp;Dashboard!$E$4,Data!$B$5:$B$362,$A20)</f>
        <v>45</v>
      </c>
      <c r="G20" s="32" t="n">
        <f>SUMIFS(Data!$H$5:$H$362,Data!$A$5:$A$362,"&gt;="&amp;Dashboard!$B$4,Data!$A$5:$A$362,"&lt;="&amp;Dashboard!$E$4,Data!$B$5:$B$362,$A20)</f>
        <v>0</v>
      </c>
      <c r="H20" s="32" t="n">
        <f>SUMIFS(Data!$I$5:$I$362,Data!$A$5:$A$362,"&gt;="&amp;Dashboard!$B$4,Data!$A$5:$A$362,"&lt;="&amp;Dashboard!$E$4,Data!$B$5:$B$362,$A20)</f>
        <v>0</v>
      </c>
      <c r="I20" s="33" t="n">
        <f>IF(D20=0,"",E20/D20)</f>
        <v>0.95114006514658</v>
      </c>
    </row>
    <row r="21">
      <c r="A21" s="32" t="inlineStr">
        <is>
          <t>DRV_09</t>
        </is>
      </c>
      <c r="B21" s="32" t="inlineStr">
        <is>
          <t>Pangkalan Jati Baru</t>
        </is>
      </c>
      <c r="C21" s="32" t="inlineStr">
        <is>
          <t>Mitra LM 2W</t>
        </is>
      </c>
      <c r="D21" s="32" t="n">
        <f>SUMIFS(Data!$E$5:$E$362,Data!$A$5:$A$362,"&gt;="&amp;Dashboard!$B$4,Data!$A$5:$A$362,"&lt;="&amp;Dashboard!$E$4,Data!$B$5:$B$362,$A21)</f>
        <v>0</v>
      </c>
      <c r="E21" s="32" t="n">
        <f>SUMIFS(Data!$F$5:$F$362,Data!$A$5:$A$362,"&gt;="&amp;Dashboard!$B$4,Data!$A$5:$A$362,"&lt;="&amp;Dashboard!$E$4,Data!$B$5:$B$362,$A21)</f>
        <v>0</v>
      </c>
      <c r="F21" s="32" t="n">
        <f>SUMIFS(Data!$G$5:$G$362,Data!$A$5:$A$362,"&gt;="&amp;Dashboard!$B$4,Data!$A$5:$A$362,"&lt;="&amp;Dashboard!$E$4,Data!$B$5:$B$362,$A21)</f>
        <v>0</v>
      </c>
      <c r="G21" s="32" t="n">
        <f>SUMIFS(Data!$H$5:$H$362,Data!$A$5:$A$362,"&gt;="&amp;Dashboard!$B$4,Data!$A$5:$A$362,"&lt;="&amp;Dashboard!$E$4,Data!$B$5:$B$362,$A21)</f>
        <v>0</v>
      </c>
      <c r="H21" s="32" t="n">
        <f>SUMIFS(Data!$I$5:$I$362,Data!$A$5:$A$362,"&gt;="&amp;Dashboard!$B$4,Data!$A$5:$A$362,"&lt;="&amp;Dashboard!$E$4,Data!$B$5:$B$362,$A21)</f>
        <v>0</v>
      </c>
      <c r="I21" s="33" t="str">
        <f>IF(D21=0,"",E21/D21)</f>
        <v/>
      </c>
    </row>
    <row r="22">
      <c r="A22" s="32" t="inlineStr">
        <is>
          <t>DRV_12</t>
        </is>
      </c>
      <c r="B22" s="32" t="inlineStr">
        <is>
          <t>Pangkalan Jati Baru</t>
        </is>
      </c>
      <c r="C22" s="32" t="inlineStr">
        <is>
          <t>Mitra LM 2W</t>
        </is>
      </c>
      <c r="D22" s="32" t="n">
        <f>SUMIFS(Data!$E$5:$E$362,Data!$A$5:$A$362,"&gt;="&amp;Dashboard!$B$4,Data!$A$5:$A$362,"&lt;="&amp;Dashboard!$E$4,Data!$B$5:$B$362,$A22)</f>
        <v>1003</v>
      </c>
      <c r="E22" s="32" t="n">
        <f>SUMIFS(Data!$F$5:$F$362,Data!$A$5:$A$362,"&gt;="&amp;Dashboard!$B$4,Data!$A$5:$A$362,"&lt;="&amp;Dashboard!$E$4,Data!$B$5:$B$362,$A22)</f>
        <v>892</v>
      </c>
      <c r="F22" s="32" t="n">
        <f>SUMIFS(Data!$G$5:$G$362,Data!$A$5:$A$362,"&gt;="&amp;Dashboard!$B$4,Data!$A$5:$A$362,"&lt;="&amp;Dashboard!$E$4,Data!$B$5:$B$362,$A22)</f>
        <v>110</v>
      </c>
      <c r="G22" s="32" t="n">
        <f>SUMIFS(Data!$H$5:$H$362,Data!$A$5:$A$362,"&gt;="&amp;Dashboard!$B$4,Data!$A$5:$A$362,"&lt;="&amp;Dashboard!$E$4,Data!$B$5:$B$362,$A22)</f>
        <v>1</v>
      </c>
      <c r="H22" s="32" t="n">
        <f>SUMIFS(Data!$I$5:$I$362,Data!$A$5:$A$362,"&gt;="&amp;Dashboard!$B$4,Data!$A$5:$A$362,"&lt;="&amp;Dashboard!$E$4,Data!$B$5:$B$362,$A22)</f>
        <v>0</v>
      </c>
      <c r="I22" s="33" t="n">
        <f>IF(D22=0,"",E22/D22)</f>
        <v>0.889332003988036</v>
      </c>
    </row>
    <row r="23">
      <c r="A23" s="32" t="inlineStr">
        <is>
          <t>DRV_56</t>
        </is>
      </c>
      <c r="B23" s="32" t="inlineStr">
        <is>
          <t>Pangkalan Jati Baru</t>
        </is>
      </c>
      <c r="C23" s="32" t="inlineStr">
        <is>
          <t>Mitra LM 2W</t>
        </is>
      </c>
      <c r="D23" s="32" t="n">
        <f>SUMIFS(Data!$E$5:$E$362,Data!$A$5:$A$362,"&gt;="&amp;Dashboard!$B$4,Data!$A$5:$A$362,"&lt;="&amp;Dashboard!$E$4,Data!$B$5:$B$362,$A23)</f>
        <v>460</v>
      </c>
      <c r="E23" s="32" t="n">
        <f>SUMIFS(Data!$F$5:$F$362,Data!$A$5:$A$362,"&gt;="&amp;Dashboard!$B$4,Data!$A$5:$A$362,"&lt;="&amp;Dashboard!$E$4,Data!$B$5:$B$362,$A23)</f>
        <v>406</v>
      </c>
      <c r="F23" s="32" t="n">
        <f>SUMIFS(Data!$G$5:$G$362,Data!$A$5:$A$362,"&gt;="&amp;Dashboard!$B$4,Data!$A$5:$A$362,"&lt;="&amp;Dashboard!$E$4,Data!$B$5:$B$362,$A23)</f>
        <v>54</v>
      </c>
      <c r="G23" s="32" t="n">
        <f>SUMIFS(Data!$H$5:$H$362,Data!$A$5:$A$362,"&gt;="&amp;Dashboard!$B$4,Data!$A$5:$A$362,"&lt;="&amp;Dashboard!$E$4,Data!$B$5:$B$362,$A23)</f>
        <v>0</v>
      </c>
      <c r="H23" s="32" t="n">
        <f>SUMIFS(Data!$I$5:$I$362,Data!$A$5:$A$362,"&gt;="&amp;Dashboard!$B$4,Data!$A$5:$A$362,"&lt;="&amp;Dashboard!$E$4,Data!$B$5:$B$362,$A23)</f>
        <v>0</v>
      </c>
      <c r="I23" s="33" t="n">
        <f>IF(D23=0,"",E23/D23)</f>
        <v>0.882608695652174</v>
      </c>
    </row>
    <row r="24">
      <c r="A24" s="32" t="inlineStr">
        <is>
          <t>DRV_26</t>
        </is>
      </c>
      <c r="B24" s="32" t="inlineStr">
        <is>
          <t>Pangkalan Jati Baru</t>
        </is>
      </c>
      <c r="C24" s="32" t="inlineStr">
        <is>
          <t>Mitra LM 2W</t>
        </is>
      </c>
      <c r="D24" s="32" t="n">
        <f>SUMIFS(Data!$E$5:$E$362,Data!$A$5:$A$362,"&gt;="&amp;Dashboard!$B$4,Data!$A$5:$A$362,"&lt;="&amp;Dashboard!$E$4,Data!$B$5:$B$362,$A24)</f>
        <v>693</v>
      </c>
      <c r="E24" s="32" t="n">
        <f>SUMIFS(Data!$F$5:$F$362,Data!$A$5:$A$362,"&gt;="&amp;Dashboard!$B$4,Data!$A$5:$A$362,"&lt;="&amp;Dashboard!$E$4,Data!$B$5:$B$362,$A24)</f>
        <v>644</v>
      </c>
      <c r="F24" s="32" t="n">
        <f>SUMIFS(Data!$G$5:$G$362,Data!$A$5:$A$362,"&gt;="&amp;Dashboard!$B$4,Data!$A$5:$A$362,"&lt;="&amp;Dashboard!$E$4,Data!$B$5:$B$362,$A24)</f>
        <v>49</v>
      </c>
      <c r="G24" s="32" t="n">
        <f>SUMIFS(Data!$H$5:$H$362,Data!$A$5:$A$362,"&gt;="&amp;Dashboard!$B$4,Data!$A$5:$A$362,"&lt;="&amp;Dashboard!$E$4,Data!$B$5:$B$362,$A24)</f>
        <v>0</v>
      </c>
      <c r="H24" s="32" t="n">
        <f>SUMIFS(Data!$I$5:$I$362,Data!$A$5:$A$362,"&gt;="&amp;Dashboard!$B$4,Data!$A$5:$A$362,"&lt;="&amp;Dashboard!$E$4,Data!$B$5:$B$362,$A24)</f>
        <v>0</v>
      </c>
      <c r="I24" s="33" t="n">
        <f>IF(D24=0,"",E24/D24)</f>
        <v>0.929292929292929</v>
      </c>
    </row>
    <row r="25">
      <c r="A25" s="32" t="inlineStr">
        <is>
          <t>DRV_48</t>
        </is>
      </c>
      <c r="B25" s="32" t="inlineStr">
        <is>
          <t>Pangkalan Jati Baru</t>
        </is>
      </c>
      <c r="C25" s="32" t="inlineStr">
        <is>
          <t>Mitra LM 2W</t>
        </is>
      </c>
      <c r="D25" s="32" t="n">
        <f>SUMIFS(Data!$E$5:$E$362,Data!$A$5:$A$362,"&gt;="&amp;Dashboard!$B$4,Data!$A$5:$A$362,"&lt;="&amp;Dashboard!$E$4,Data!$B$5:$B$362,$A25)</f>
        <v>278</v>
      </c>
      <c r="E25" s="32" t="n">
        <f>SUMIFS(Data!$F$5:$F$362,Data!$A$5:$A$362,"&gt;="&amp;Dashboard!$B$4,Data!$A$5:$A$362,"&lt;="&amp;Dashboard!$E$4,Data!$B$5:$B$362,$A25)</f>
        <v>250</v>
      </c>
      <c r="F25" s="32" t="n">
        <f>SUMIFS(Data!$G$5:$G$362,Data!$A$5:$A$362,"&gt;="&amp;Dashboard!$B$4,Data!$A$5:$A$362,"&lt;="&amp;Dashboard!$E$4,Data!$B$5:$B$362,$A25)</f>
        <v>28</v>
      </c>
      <c r="G25" s="32" t="n">
        <f>SUMIFS(Data!$H$5:$H$362,Data!$A$5:$A$362,"&gt;="&amp;Dashboard!$B$4,Data!$A$5:$A$362,"&lt;="&amp;Dashboard!$E$4,Data!$B$5:$B$362,$A25)</f>
        <v>0</v>
      </c>
      <c r="H25" s="32" t="n">
        <f>SUMIFS(Data!$I$5:$I$362,Data!$A$5:$A$362,"&gt;="&amp;Dashboard!$B$4,Data!$A$5:$A$362,"&lt;="&amp;Dashboard!$E$4,Data!$B$5:$B$362,$A25)</f>
        <v>0</v>
      </c>
      <c r="I25" s="33" t="n">
        <f>IF(D25=0,"",E25/D25)</f>
        <v>0.899280575539568</v>
      </c>
    </row>
    <row r="26">
      <c r="A26" s="32" t="inlineStr">
        <is>
          <t>DRV_50</t>
        </is>
      </c>
      <c r="B26" s="32" t="inlineStr">
        <is>
          <t>Pangkalan Jati Baru</t>
        </is>
      </c>
      <c r="C26" s="32" t="inlineStr">
        <is>
          <t>Dedicated LM 2W</t>
        </is>
      </c>
      <c r="D26" s="32" t="n">
        <f>SUMIFS(Data!$E$5:$E$362,Data!$A$5:$A$362,"&gt;="&amp;Dashboard!$B$4,Data!$A$5:$A$362,"&lt;="&amp;Dashboard!$E$4,Data!$B$5:$B$362,$A26)</f>
        <v>1049</v>
      </c>
      <c r="E26" s="32" t="n">
        <f>SUMIFS(Data!$F$5:$F$362,Data!$A$5:$A$362,"&gt;="&amp;Dashboard!$B$4,Data!$A$5:$A$362,"&lt;="&amp;Dashboard!$E$4,Data!$B$5:$B$362,$A26)</f>
        <v>973</v>
      </c>
      <c r="F26" s="32" t="n">
        <f>SUMIFS(Data!$G$5:$G$362,Data!$A$5:$A$362,"&gt;="&amp;Dashboard!$B$4,Data!$A$5:$A$362,"&lt;="&amp;Dashboard!$E$4,Data!$B$5:$B$362,$A26)</f>
        <v>76</v>
      </c>
      <c r="G26" s="32" t="n">
        <f>SUMIFS(Data!$H$5:$H$362,Data!$A$5:$A$362,"&gt;="&amp;Dashboard!$B$4,Data!$A$5:$A$362,"&lt;="&amp;Dashboard!$E$4,Data!$B$5:$B$362,$A26)</f>
        <v>0</v>
      </c>
      <c r="H26" s="32" t="n">
        <f>SUMIFS(Data!$I$5:$I$362,Data!$A$5:$A$362,"&gt;="&amp;Dashboard!$B$4,Data!$A$5:$A$362,"&lt;="&amp;Dashboard!$E$4,Data!$B$5:$B$362,$A26)</f>
        <v>0</v>
      </c>
      <c r="I26" s="33" t="n">
        <f>IF(D26=0,"",E26/D26)</f>
        <v>0.927550047664442</v>
      </c>
    </row>
    <row r="27">
      <c r="A27" s="32" t="inlineStr">
        <is>
          <t>DRV_28</t>
        </is>
      </c>
      <c r="B27" s="32" t="inlineStr">
        <is>
          <t>Pangkalan Jati Lama</t>
        </is>
      </c>
      <c r="C27" s="32" t="inlineStr">
        <is>
          <t>Mitra LM 2W</t>
        </is>
      </c>
      <c r="D27" s="32" t="n">
        <f>SUMIFS(Data!$E$5:$E$362,Data!$A$5:$A$362,"&gt;="&amp;Dashboard!$B$4,Data!$A$5:$A$362,"&lt;="&amp;Dashboard!$E$4,Data!$B$5:$B$362,$A27)</f>
        <v>832</v>
      </c>
      <c r="E27" s="32" t="n">
        <f>SUMIFS(Data!$F$5:$F$362,Data!$A$5:$A$362,"&gt;="&amp;Dashboard!$B$4,Data!$A$5:$A$362,"&lt;="&amp;Dashboard!$E$4,Data!$B$5:$B$362,$A27)</f>
        <v>772</v>
      </c>
      <c r="F27" s="32" t="n">
        <f>SUMIFS(Data!$G$5:$G$362,Data!$A$5:$A$362,"&gt;="&amp;Dashboard!$B$4,Data!$A$5:$A$362,"&lt;="&amp;Dashboard!$E$4,Data!$B$5:$B$362,$A27)</f>
        <v>60</v>
      </c>
      <c r="G27" s="32" t="n">
        <f>SUMIFS(Data!$H$5:$H$362,Data!$A$5:$A$362,"&gt;="&amp;Dashboard!$B$4,Data!$A$5:$A$362,"&lt;="&amp;Dashboard!$E$4,Data!$B$5:$B$362,$A27)</f>
        <v>0</v>
      </c>
      <c r="H27" s="32" t="n">
        <f>SUMIFS(Data!$I$5:$I$362,Data!$A$5:$A$362,"&gt;="&amp;Dashboard!$B$4,Data!$A$5:$A$362,"&lt;="&amp;Dashboard!$E$4,Data!$B$5:$B$362,$A27)</f>
        <v>0</v>
      </c>
      <c r="I27" s="33" t="n">
        <f>IF(D27=0,"",E27/D27)</f>
        <v>0.927884615384615</v>
      </c>
    </row>
    <row r="28">
      <c r="A28" s="32" t="inlineStr">
        <is>
          <t>DRV_57</t>
        </is>
      </c>
      <c r="B28" s="32" t="inlineStr">
        <is>
          <t>Pangkalan Jati Lama</t>
        </is>
      </c>
      <c r="C28" s="32" t="inlineStr">
        <is>
          <t>Mitra LM 2W</t>
        </is>
      </c>
      <c r="D28" s="32" t="n">
        <f>SUMIFS(Data!$E$5:$E$362,Data!$A$5:$A$362,"&gt;="&amp;Dashboard!$B$4,Data!$A$5:$A$362,"&lt;="&amp;Dashboard!$E$4,Data!$B$5:$B$362,$A28)</f>
        <v>409</v>
      </c>
      <c r="E28" s="32" t="n">
        <f>SUMIFS(Data!$F$5:$F$362,Data!$A$5:$A$362,"&gt;="&amp;Dashboard!$B$4,Data!$A$5:$A$362,"&lt;="&amp;Dashboard!$E$4,Data!$B$5:$B$362,$A28)</f>
        <v>409</v>
      </c>
      <c r="F28" s="32" t="n">
        <f>SUMIFS(Data!$G$5:$G$362,Data!$A$5:$A$362,"&gt;="&amp;Dashboard!$B$4,Data!$A$5:$A$362,"&lt;="&amp;Dashboard!$E$4,Data!$B$5:$B$362,$A28)</f>
        <v>0</v>
      </c>
      <c r="G28" s="32" t="n">
        <f>SUMIFS(Data!$H$5:$H$362,Data!$A$5:$A$362,"&gt;="&amp;Dashboard!$B$4,Data!$A$5:$A$362,"&lt;="&amp;Dashboard!$E$4,Data!$B$5:$B$362,$A28)</f>
        <v>0</v>
      </c>
      <c r="H28" s="32" t="n">
        <f>SUMIFS(Data!$I$5:$I$362,Data!$A$5:$A$362,"&gt;="&amp;Dashboard!$B$4,Data!$A$5:$A$362,"&lt;="&amp;Dashboard!$E$4,Data!$B$5:$B$362,$A28)</f>
        <v>0</v>
      </c>
      <c r="I28" s="33" t="n">
        <f>IF(D28=0,"",E28/D28)</f>
        <v>1</v>
      </c>
    </row>
    <row r="29">
      <c r="A29" s="32" t="inlineStr">
        <is>
          <t>DRV_39</t>
        </is>
      </c>
      <c r="B29" s="32" t="inlineStr">
        <is>
          <t>Pangkalan Jati Lama</t>
        </is>
      </c>
      <c r="C29" s="32" t="inlineStr">
        <is>
          <t>Dedicated LM 2W</t>
        </is>
      </c>
      <c r="D29" s="32" t="n">
        <f>SUMIFS(Data!$E$5:$E$362,Data!$A$5:$A$362,"&gt;="&amp;Dashboard!$B$4,Data!$A$5:$A$362,"&lt;="&amp;Dashboard!$E$4,Data!$B$5:$B$362,$A29)</f>
        <v>859</v>
      </c>
      <c r="E29" s="32" t="n">
        <f>SUMIFS(Data!$F$5:$F$362,Data!$A$5:$A$362,"&gt;="&amp;Dashboard!$B$4,Data!$A$5:$A$362,"&lt;="&amp;Dashboard!$E$4,Data!$B$5:$B$362,$A29)</f>
        <v>782</v>
      </c>
      <c r="F29" s="32" t="n">
        <f>SUMIFS(Data!$G$5:$G$362,Data!$A$5:$A$362,"&gt;="&amp;Dashboard!$B$4,Data!$A$5:$A$362,"&lt;="&amp;Dashboard!$E$4,Data!$B$5:$B$362,$A29)</f>
        <v>77</v>
      </c>
      <c r="G29" s="32" t="n">
        <f>SUMIFS(Data!$H$5:$H$362,Data!$A$5:$A$362,"&gt;="&amp;Dashboard!$B$4,Data!$A$5:$A$362,"&lt;="&amp;Dashboard!$E$4,Data!$B$5:$B$362,$A29)</f>
        <v>0</v>
      </c>
      <c r="H29" s="32" t="n">
        <f>SUMIFS(Data!$I$5:$I$362,Data!$A$5:$A$362,"&gt;="&amp;Dashboard!$B$4,Data!$A$5:$A$362,"&lt;="&amp;Dashboard!$E$4,Data!$B$5:$B$362,$A29)</f>
        <v>0</v>
      </c>
      <c r="I29" s="33" t="n">
        <f>IF(D29=0,"",E29/D29)</f>
        <v>0.910360884749709</v>
      </c>
    </row>
    <row r="30">
      <c r="A30" s="32" t="inlineStr">
        <is>
          <t>DRV_44</t>
        </is>
      </c>
      <c r="B30" s="32" t="inlineStr">
        <is>
          <t>Pangkalan Jati Lama</t>
        </is>
      </c>
      <c r="C30" s="32" t="inlineStr">
        <is>
          <t>Dedicated LM 2W</t>
        </is>
      </c>
      <c r="D30" s="32" t="n">
        <f>SUMIFS(Data!$E$5:$E$362,Data!$A$5:$A$362,"&gt;="&amp;Dashboard!$B$4,Data!$A$5:$A$362,"&lt;="&amp;Dashboard!$E$4,Data!$B$5:$B$362,$A30)</f>
        <v>925</v>
      </c>
      <c r="E30" s="32" t="n">
        <f>SUMIFS(Data!$F$5:$F$362,Data!$A$5:$A$362,"&gt;="&amp;Dashboard!$B$4,Data!$A$5:$A$362,"&lt;="&amp;Dashboard!$E$4,Data!$B$5:$B$362,$A30)</f>
        <v>846</v>
      </c>
      <c r="F30" s="32" t="n">
        <f>SUMIFS(Data!$G$5:$G$362,Data!$A$5:$A$362,"&gt;="&amp;Dashboard!$B$4,Data!$A$5:$A$362,"&lt;="&amp;Dashboard!$E$4,Data!$B$5:$B$362,$A30)</f>
        <v>79</v>
      </c>
      <c r="G30" s="32" t="n">
        <f>SUMIFS(Data!$H$5:$H$362,Data!$A$5:$A$362,"&gt;="&amp;Dashboard!$B$4,Data!$A$5:$A$362,"&lt;="&amp;Dashboard!$E$4,Data!$B$5:$B$362,$A30)</f>
        <v>0</v>
      </c>
      <c r="H30" s="32" t="n">
        <f>SUMIFS(Data!$I$5:$I$362,Data!$A$5:$A$362,"&gt;="&amp;Dashboard!$B$4,Data!$A$5:$A$362,"&lt;="&amp;Dashboard!$E$4,Data!$B$5:$B$362,$A30)</f>
        <v>0</v>
      </c>
      <c r="I30" s="33" t="n">
        <f>IF(D30=0,"",E30/D30)</f>
        <v>0.914594594594595</v>
      </c>
    </row>
    <row r="31">
      <c r="A31" s="32" t="inlineStr">
        <is>
          <t>DRV_46</t>
        </is>
      </c>
      <c r="B31" s="32" t="inlineStr">
        <is>
          <t>Pangkalan Jati Lama</t>
        </is>
      </c>
      <c r="C31" s="32" t="inlineStr">
        <is>
          <t>Mitra LM 2W</t>
        </is>
      </c>
      <c r="D31" s="32" t="n">
        <f>SUMIFS(Data!$E$5:$E$362,Data!$A$5:$A$362,"&gt;="&amp;Dashboard!$B$4,Data!$A$5:$A$362,"&lt;="&amp;Dashboard!$E$4,Data!$B$5:$B$362,$A31)</f>
        <v>455</v>
      </c>
      <c r="E31" s="32" t="n">
        <f>SUMIFS(Data!$F$5:$F$362,Data!$A$5:$A$362,"&gt;="&amp;Dashboard!$B$4,Data!$A$5:$A$362,"&lt;="&amp;Dashboard!$E$4,Data!$B$5:$B$362,$A31)</f>
        <v>405</v>
      </c>
      <c r="F31" s="32" t="n">
        <f>SUMIFS(Data!$G$5:$G$362,Data!$A$5:$A$362,"&gt;="&amp;Dashboard!$B$4,Data!$A$5:$A$362,"&lt;="&amp;Dashboard!$E$4,Data!$B$5:$B$362,$A31)</f>
        <v>50</v>
      </c>
      <c r="G31" s="32" t="n">
        <f>SUMIFS(Data!$H$5:$H$362,Data!$A$5:$A$362,"&gt;="&amp;Dashboard!$B$4,Data!$A$5:$A$362,"&lt;="&amp;Dashboard!$E$4,Data!$B$5:$B$362,$A31)</f>
        <v>0</v>
      </c>
      <c r="H31" s="32" t="n">
        <f>SUMIFS(Data!$I$5:$I$362,Data!$A$5:$A$362,"&gt;="&amp;Dashboard!$B$4,Data!$A$5:$A$362,"&lt;="&amp;Dashboard!$E$4,Data!$B$5:$B$362,$A31)</f>
        <v>0</v>
      </c>
      <c r="I31" s="33" t="n">
        <f>IF(D31=0,"",E31/D31)</f>
        <v>0.89010989010989</v>
      </c>
    </row>
    <row r="32">
      <c r="A32" s="32" t="inlineStr">
        <is>
          <t>DRV_15</t>
        </is>
      </c>
      <c r="B32" s="32" t="inlineStr">
        <is>
          <t>Krukut</t>
        </is>
      </c>
      <c r="C32" s="32" t="inlineStr">
        <is>
          <t>Mitra LM 2W</t>
        </is>
      </c>
      <c r="D32" s="32" t="n">
        <f>SUMIFS(Data!$E$5:$E$362,Data!$A$5:$A$362,"&gt;="&amp;Dashboard!$B$4,Data!$A$5:$A$362,"&lt;="&amp;Dashboard!$E$4,Data!$B$5:$B$362,$A32)</f>
        <v>777</v>
      </c>
      <c r="E32" s="32" t="n">
        <f>SUMIFS(Data!$F$5:$F$362,Data!$A$5:$A$362,"&gt;="&amp;Dashboard!$B$4,Data!$A$5:$A$362,"&lt;="&amp;Dashboard!$E$4,Data!$B$5:$B$362,$A32)</f>
        <v>697</v>
      </c>
      <c r="F32" s="32" t="n">
        <f>SUMIFS(Data!$G$5:$G$362,Data!$A$5:$A$362,"&gt;="&amp;Dashboard!$B$4,Data!$A$5:$A$362,"&lt;="&amp;Dashboard!$E$4,Data!$B$5:$B$362,$A32)</f>
        <v>78</v>
      </c>
      <c r="G32" s="32" t="n">
        <f>SUMIFS(Data!$H$5:$H$362,Data!$A$5:$A$362,"&gt;="&amp;Dashboard!$B$4,Data!$A$5:$A$362,"&lt;="&amp;Dashboard!$E$4,Data!$B$5:$B$362,$A32)</f>
        <v>2</v>
      </c>
      <c r="H32" s="32" t="n">
        <f>SUMIFS(Data!$I$5:$I$362,Data!$A$5:$A$362,"&gt;="&amp;Dashboard!$B$4,Data!$A$5:$A$362,"&lt;="&amp;Dashboard!$E$4,Data!$B$5:$B$362,$A32)</f>
        <v>0</v>
      </c>
      <c r="I32" s="33" t="n">
        <f>IF(D32=0,"",E32/D32)</f>
        <v>0.897039897039897</v>
      </c>
    </row>
    <row r="33">
      <c r="A33" s="32" t="inlineStr">
        <is>
          <t>DRV_17</t>
        </is>
      </c>
      <c r="B33" s="32" t="inlineStr">
        <is>
          <t>Krukut</t>
        </is>
      </c>
      <c r="C33" s="32" t="inlineStr">
        <is>
          <t>Dedicated LM 2W</t>
        </is>
      </c>
      <c r="D33" s="32" t="n">
        <f>SUMIFS(Data!$E$5:$E$362,Data!$A$5:$A$362,"&gt;="&amp;Dashboard!$B$4,Data!$A$5:$A$362,"&lt;="&amp;Dashboard!$E$4,Data!$B$5:$B$362,$A33)</f>
        <v>1128</v>
      </c>
      <c r="E33" s="32" t="n">
        <f>SUMIFS(Data!$F$5:$F$362,Data!$A$5:$A$362,"&gt;="&amp;Dashboard!$B$4,Data!$A$5:$A$362,"&lt;="&amp;Dashboard!$E$4,Data!$B$5:$B$362,$A33)</f>
        <v>1025</v>
      </c>
      <c r="F33" s="32" t="n">
        <f>SUMIFS(Data!$G$5:$G$362,Data!$A$5:$A$362,"&gt;="&amp;Dashboard!$B$4,Data!$A$5:$A$362,"&lt;="&amp;Dashboard!$E$4,Data!$B$5:$B$362,$A33)</f>
        <v>103</v>
      </c>
      <c r="G33" s="32" t="n">
        <f>SUMIFS(Data!$H$5:$H$362,Data!$A$5:$A$362,"&gt;="&amp;Dashboard!$B$4,Data!$A$5:$A$362,"&lt;="&amp;Dashboard!$E$4,Data!$B$5:$B$362,$A33)</f>
        <v>0</v>
      </c>
      <c r="H33" s="32" t="n">
        <f>SUMIFS(Data!$I$5:$I$362,Data!$A$5:$A$362,"&gt;="&amp;Dashboard!$B$4,Data!$A$5:$A$362,"&lt;="&amp;Dashboard!$E$4,Data!$B$5:$B$362,$A33)</f>
        <v>0</v>
      </c>
      <c r="I33" s="33" t="n">
        <f>IF(D33=0,"",E33/D33)</f>
        <v>0.908687943262411</v>
      </c>
    </row>
    <row r="34">
      <c r="A34" s="32" t="inlineStr">
        <is>
          <t>DRV_20</t>
        </is>
      </c>
      <c r="B34" s="32" t="inlineStr">
        <is>
          <t>Krukut</t>
        </is>
      </c>
      <c r="C34" s="32" t="inlineStr">
        <is>
          <t>Mitra LM 2W</t>
        </is>
      </c>
      <c r="D34" s="32" t="n">
        <f>SUMIFS(Data!$E$5:$E$362,Data!$A$5:$A$362,"&gt;="&amp;Dashboard!$B$4,Data!$A$5:$A$362,"&lt;="&amp;Dashboard!$E$4,Data!$B$5:$B$362,$A34)</f>
        <v>642</v>
      </c>
      <c r="E34" s="32" t="n">
        <f>SUMIFS(Data!$F$5:$F$362,Data!$A$5:$A$362,"&gt;="&amp;Dashboard!$B$4,Data!$A$5:$A$362,"&lt;="&amp;Dashboard!$E$4,Data!$B$5:$B$362,$A34)</f>
        <v>594</v>
      </c>
      <c r="F34" s="32" t="n">
        <f>SUMIFS(Data!$G$5:$G$362,Data!$A$5:$A$362,"&gt;="&amp;Dashboard!$B$4,Data!$A$5:$A$362,"&lt;="&amp;Dashboard!$E$4,Data!$B$5:$B$362,$A34)</f>
        <v>44</v>
      </c>
      <c r="G34" s="32" t="n">
        <f>SUMIFS(Data!$H$5:$H$362,Data!$A$5:$A$362,"&gt;="&amp;Dashboard!$B$4,Data!$A$5:$A$362,"&lt;="&amp;Dashboard!$E$4,Data!$B$5:$B$362,$A34)</f>
        <v>4</v>
      </c>
      <c r="H34" s="32" t="n">
        <f>SUMIFS(Data!$I$5:$I$362,Data!$A$5:$A$362,"&gt;="&amp;Dashboard!$B$4,Data!$A$5:$A$362,"&lt;="&amp;Dashboard!$E$4,Data!$B$5:$B$362,$A34)</f>
        <v>0</v>
      </c>
      <c r="I34" s="33" t="n">
        <f>IF(D34=0,"",E34/D34)</f>
        <v>0.925233644859813</v>
      </c>
    </row>
    <row r="35">
      <c r="A35" s="32" t="inlineStr">
        <is>
          <t>DRV_31</t>
        </is>
      </c>
      <c r="B35" s="32" t="inlineStr">
        <is>
          <t>Krukut</t>
        </is>
      </c>
      <c r="C35" s="32" t="inlineStr">
        <is>
          <t>Mitra LM 2W</t>
        </is>
      </c>
      <c r="D35" s="32" t="n">
        <f>SUMIFS(Data!$E$5:$E$362,Data!$A$5:$A$362,"&gt;="&amp;Dashboard!$B$4,Data!$A$5:$A$362,"&lt;="&amp;Dashboard!$E$4,Data!$B$5:$B$362,$A35)</f>
        <v>619</v>
      </c>
      <c r="E35" s="32" t="n">
        <f>SUMIFS(Data!$F$5:$F$362,Data!$A$5:$A$362,"&gt;="&amp;Dashboard!$B$4,Data!$A$5:$A$362,"&lt;="&amp;Dashboard!$E$4,Data!$B$5:$B$362,$A35)</f>
        <v>560</v>
      </c>
      <c r="F35" s="32" t="n">
        <f>SUMIFS(Data!$G$5:$G$362,Data!$A$5:$A$362,"&gt;="&amp;Dashboard!$B$4,Data!$A$5:$A$362,"&lt;="&amp;Dashboard!$E$4,Data!$B$5:$B$362,$A35)</f>
        <v>59</v>
      </c>
      <c r="G35" s="32" t="n">
        <f>SUMIFS(Data!$H$5:$H$362,Data!$A$5:$A$362,"&gt;="&amp;Dashboard!$B$4,Data!$A$5:$A$362,"&lt;="&amp;Dashboard!$E$4,Data!$B$5:$B$362,$A35)</f>
        <v>0</v>
      </c>
      <c r="H35" s="32" t="n">
        <f>SUMIFS(Data!$I$5:$I$362,Data!$A$5:$A$362,"&gt;="&amp;Dashboard!$B$4,Data!$A$5:$A$362,"&lt;="&amp;Dashboard!$E$4,Data!$B$5:$B$362,$A35)</f>
        <v>0</v>
      </c>
      <c r="I35" s="33" t="n">
        <f>IF(D35=0,"",E35/D35)</f>
        <v>0.904684975767367</v>
      </c>
    </row>
    <row r="36">
      <c r="A36" s="32" t="inlineStr">
        <is>
          <t>DRV_58</t>
        </is>
      </c>
      <c r="B36" s="32" t="inlineStr">
        <is>
          <t>Krukut</t>
        </is>
      </c>
      <c r="C36" s="32" t="inlineStr">
        <is>
          <t>Mitra LM 2W</t>
        </is>
      </c>
      <c r="D36" s="32" t="n">
        <f>SUMIFS(Data!$E$5:$E$362,Data!$A$5:$A$362,"&gt;="&amp;Dashboard!$B$4,Data!$A$5:$A$362,"&lt;="&amp;Dashboard!$E$4,Data!$B$5:$B$362,$A36)</f>
        <v>627</v>
      </c>
      <c r="E36" s="32" t="n">
        <f>SUMIFS(Data!$F$5:$F$362,Data!$A$5:$A$362,"&gt;="&amp;Dashboard!$B$4,Data!$A$5:$A$362,"&lt;="&amp;Dashboard!$E$4,Data!$B$5:$B$362,$A36)</f>
        <v>564</v>
      </c>
      <c r="F36" s="32" t="n">
        <f>SUMIFS(Data!$G$5:$G$362,Data!$A$5:$A$362,"&gt;="&amp;Dashboard!$B$4,Data!$A$5:$A$362,"&lt;="&amp;Dashboard!$E$4,Data!$B$5:$B$362,$A36)</f>
        <v>61</v>
      </c>
      <c r="G36" s="32" t="n">
        <f>SUMIFS(Data!$H$5:$H$362,Data!$A$5:$A$362,"&gt;="&amp;Dashboard!$B$4,Data!$A$5:$A$362,"&lt;="&amp;Dashboard!$E$4,Data!$B$5:$B$362,$A36)</f>
        <v>2</v>
      </c>
      <c r="H36" s="32" t="n">
        <f>SUMIFS(Data!$I$5:$I$362,Data!$A$5:$A$362,"&gt;="&amp;Dashboard!$B$4,Data!$A$5:$A$362,"&lt;="&amp;Dashboard!$E$4,Data!$B$5:$B$362,$A36)</f>
        <v>0</v>
      </c>
      <c r="I36" s="33" t="n">
        <f>IF(D36=0,"",E36/D36)</f>
        <v>0.899521531100479</v>
      </c>
    </row>
    <row r="37">
      <c r="A37" s="32" t="inlineStr">
        <is>
          <t>DRV_45</t>
        </is>
      </c>
      <c r="B37" s="32" t="inlineStr">
        <is>
          <t>Krukut</t>
        </is>
      </c>
      <c r="C37" s="32" t="inlineStr">
        <is>
          <t>Mitra LM 2W</t>
        </is>
      </c>
      <c r="D37" s="32" t="n">
        <f>SUMIFS(Data!$E$5:$E$362,Data!$A$5:$A$362,"&gt;="&amp;Dashboard!$B$4,Data!$A$5:$A$362,"&lt;="&amp;Dashboard!$E$4,Data!$B$5:$B$362,$A37)</f>
        <v>654</v>
      </c>
      <c r="E37" s="32" t="n">
        <f>SUMIFS(Data!$F$5:$F$362,Data!$A$5:$A$362,"&gt;="&amp;Dashboard!$B$4,Data!$A$5:$A$362,"&lt;="&amp;Dashboard!$E$4,Data!$B$5:$B$362,$A37)</f>
        <v>654</v>
      </c>
      <c r="F37" s="32" t="n">
        <f>SUMIFS(Data!$G$5:$G$362,Data!$A$5:$A$362,"&gt;="&amp;Dashboard!$B$4,Data!$A$5:$A$362,"&lt;="&amp;Dashboard!$E$4,Data!$B$5:$B$362,$A37)</f>
        <v>0</v>
      </c>
      <c r="G37" s="32" t="n">
        <f>SUMIFS(Data!$H$5:$H$362,Data!$A$5:$A$362,"&gt;="&amp;Dashboard!$B$4,Data!$A$5:$A$362,"&lt;="&amp;Dashboard!$E$4,Data!$B$5:$B$362,$A37)</f>
        <v>0</v>
      </c>
      <c r="H37" s="32" t="n">
        <f>SUMIFS(Data!$I$5:$I$362,Data!$A$5:$A$362,"&gt;="&amp;Dashboard!$B$4,Data!$A$5:$A$362,"&lt;="&amp;Dashboard!$E$4,Data!$B$5:$B$362,$A37)</f>
        <v>0</v>
      </c>
      <c r="I37" s="33" t="n">
        <f>IF(D37=0,"",E37/D37)</f>
        <v>1</v>
      </c>
    </row>
    <row r="38">
      <c r="A38" s="32" t="inlineStr">
        <is>
          <t>DRV_06</t>
        </is>
      </c>
      <c r="B38" s="32" t="inlineStr">
        <is>
          <t>Grogol</t>
        </is>
      </c>
      <c r="C38" s="32" t="inlineStr">
        <is>
          <t>Mitra LM 2W</t>
        </is>
      </c>
      <c r="D38" s="32" t="n">
        <f>SUMIFS(Data!$E$5:$E$362,Data!$A$5:$A$362,"&gt;="&amp;Dashboard!$B$4,Data!$A$5:$A$362,"&lt;="&amp;Dashboard!$E$4,Data!$B$5:$B$362,$A38)</f>
        <v>612</v>
      </c>
      <c r="E38" s="32" t="n">
        <f>SUMIFS(Data!$F$5:$F$362,Data!$A$5:$A$362,"&gt;="&amp;Dashboard!$B$4,Data!$A$5:$A$362,"&lt;="&amp;Dashboard!$E$4,Data!$B$5:$B$362,$A38)</f>
        <v>573</v>
      </c>
      <c r="F38" s="32" t="n">
        <f>SUMIFS(Data!$G$5:$G$362,Data!$A$5:$A$362,"&gt;="&amp;Dashboard!$B$4,Data!$A$5:$A$362,"&lt;="&amp;Dashboard!$E$4,Data!$B$5:$B$362,$A38)</f>
        <v>36</v>
      </c>
      <c r="G38" s="32" t="n">
        <f>SUMIFS(Data!$H$5:$H$362,Data!$A$5:$A$362,"&gt;="&amp;Dashboard!$B$4,Data!$A$5:$A$362,"&lt;="&amp;Dashboard!$E$4,Data!$B$5:$B$362,$A38)</f>
        <v>3</v>
      </c>
      <c r="H38" s="32" t="n">
        <f>SUMIFS(Data!$I$5:$I$362,Data!$A$5:$A$362,"&gt;="&amp;Dashboard!$B$4,Data!$A$5:$A$362,"&lt;="&amp;Dashboard!$E$4,Data!$B$5:$B$362,$A38)</f>
        <v>0</v>
      </c>
      <c r="I38" s="33" t="n">
        <f>IF(D38=0,"",E38/D38)</f>
        <v>0.936274509803922</v>
      </c>
    </row>
    <row r="39">
      <c r="A39" s="32" t="inlineStr">
        <is>
          <t>DRV_11</t>
        </is>
      </c>
      <c r="B39" s="32" t="inlineStr">
        <is>
          <t>Grogol</t>
        </is>
      </c>
      <c r="C39" s="32" t="inlineStr">
        <is>
          <t>Mitra LM 2W</t>
        </is>
      </c>
      <c r="D39" s="32" t="n">
        <f>SUMIFS(Data!$E$5:$E$362,Data!$A$5:$A$362,"&gt;="&amp;Dashboard!$B$4,Data!$A$5:$A$362,"&lt;="&amp;Dashboard!$E$4,Data!$B$5:$B$362,$A39)</f>
        <v>511</v>
      </c>
      <c r="E39" s="32" t="n">
        <f>SUMIFS(Data!$F$5:$F$362,Data!$A$5:$A$362,"&gt;="&amp;Dashboard!$B$4,Data!$A$5:$A$362,"&lt;="&amp;Dashboard!$E$4,Data!$B$5:$B$362,$A39)</f>
        <v>463</v>
      </c>
      <c r="F39" s="32" t="n">
        <f>SUMIFS(Data!$G$5:$G$362,Data!$A$5:$A$362,"&gt;="&amp;Dashboard!$B$4,Data!$A$5:$A$362,"&lt;="&amp;Dashboard!$E$4,Data!$B$5:$B$362,$A39)</f>
        <v>48</v>
      </c>
      <c r="G39" s="32" t="n">
        <f>SUMIFS(Data!$H$5:$H$362,Data!$A$5:$A$362,"&gt;="&amp;Dashboard!$B$4,Data!$A$5:$A$362,"&lt;="&amp;Dashboard!$E$4,Data!$B$5:$B$362,$A39)</f>
        <v>0</v>
      </c>
      <c r="H39" s="32" t="n">
        <f>SUMIFS(Data!$I$5:$I$362,Data!$A$5:$A$362,"&gt;="&amp;Dashboard!$B$4,Data!$A$5:$A$362,"&lt;="&amp;Dashboard!$E$4,Data!$B$5:$B$362,$A39)</f>
        <v>0</v>
      </c>
      <c r="I39" s="33" t="n">
        <f>IF(D39=0,"",E39/D39)</f>
        <v>0.906066536203523</v>
      </c>
    </row>
    <row r="40">
      <c r="A40" s="32" t="inlineStr">
        <is>
          <t>DRV_02</t>
        </is>
      </c>
      <c r="B40" s="32" t="inlineStr">
        <is>
          <t>Grogol</t>
        </is>
      </c>
      <c r="C40" s="32" t="inlineStr">
        <is>
          <t>Mitra LM 2W</t>
        </is>
      </c>
      <c r="D40" s="32" t="n">
        <f>SUMIFS(Data!$E$5:$E$362,Data!$A$5:$A$362,"&gt;="&amp;Dashboard!$B$4,Data!$A$5:$A$362,"&lt;="&amp;Dashboard!$E$4,Data!$B$5:$B$362,$A40)</f>
        <v>779</v>
      </c>
      <c r="E40" s="32" t="n">
        <f>SUMIFS(Data!$F$5:$F$362,Data!$A$5:$A$362,"&gt;="&amp;Dashboard!$B$4,Data!$A$5:$A$362,"&lt;="&amp;Dashboard!$E$4,Data!$B$5:$B$362,$A40)</f>
        <v>718</v>
      </c>
      <c r="F40" s="32" t="n">
        <f>SUMIFS(Data!$G$5:$G$362,Data!$A$5:$A$362,"&gt;="&amp;Dashboard!$B$4,Data!$A$5:$A$362,"&lt;="&amp;Dashboard!$E$4,Data!$B$5:$B$362,$A40)</f>
        <v>59</v>
      </c>
      <c r="G40" s="32" t="n">
        <f>SUMIFS(Data!$H$5:$H$362,Data!$A$5:$A$362,"&gt;="&amp;Dashboard!$B$4,Data!$A$5:$A$362,"&lt;="&amp;Dashboard!$E$4,Data!$B$5:$B$362,$A40)</f>
        <v>2</v>
      </c>
      <c r="H40" s="32" t="n">
        <f>SUMIFS(Data!$I$5:$I$362,Data!$A$5:$A$362,"&gt;="&amp;Dashboard!$B$4,Data!$A$5:$A$362,"&lt;="&amp;Dashboard!$E$4,Data!$B$5:$B$362,$A40)</f>
        <v>0</v>
      </c>
      <c r="I40" s="33" t="n">
        <f>IF(D40=0,"",E40/D40)</f>
        <v>0.921694480102696</v>
      </c>
    </row>
    <row r="41">
      <c r="A41" s="32" t="inlineStr">
        <is>
          <t>DRV_21</t>
        </is>
      </c>
      <c r="B41" s="32" t="inlineStr">
        <is>
          <t>Grogol</t>
        </is>
      </c>
      <c r="C41" s="32" t="inlineStr">
        <is>
          <t>Dedicated LM 2W</t>
        </is>
      </c>
      <c r="D41" s="32" t="n">
        <f>SUMIFS(Data!$E$5:$E$362,Data!$A$5:$A$362,"&gt;="&amp;Dashboard!$B$4,Data!$A$5:$A$362,"&lt;="&amp;Dashboard!$E$4,Data!$B$5:$B$362,$A41)</f>
        <v>915</v>
      </c>
      <c r="E41" s="32" t="n">
        <f>SUMIFS(Data!$F$5:$F$362,Data!$A$5:$A$362,"&gt;="&amp;Dashboard!$B$4,Data!$A$5:$A$362,"&lt;="&amp;Dashboard!$E$4,Data!$B$5:$B$362,$A41)</f>
        <v>839</v>
      </c>
      <c r="F41" s="32" t="n">
        <f>SUMIFS(Data!$G$5:$G$362,Data!$A$5:$A$362,"&gt;="&amp;Dashboard!$B$4,Data!$A$5:$A$362,"&lt;="&amp;Dashboard!$E$4,Data!$B$5:$B$362,$A41)</f>
        <v>76</v>
      </c>
      <c r="G41" s="32" t="n">
        <f>SUMIFS(Data!$H$5:$H$362,Data!$A$5:$A$362,"&gt;="&amp;Dashboard!$B$4,Data!$A$5:$A$362,"&lt;="&amp;Dashboard!$E$4,Data!$B$5:$B$362,$A41)</f>
        <v>0</v>
      </c>
      <c r="H41" s="32" t="n">
        <f>SUMIFS(Data!$I$5:$I$362,Data!$A$5:$A$362,"&gt;="&amp;Dashboard!$B$4,Data!$A$5:$A$362,"&lt;="&amp;Dashboard!$E$4,Data!$B$5:$B$362,$A41)</f>
        <v>0</v>
      </c>
      <c r="I41" s="33" t="n">
        <f>IF(D41=0,"",E41/D41)</f>
        <v>0.916939890710383</v>
      </c>
    </row>
    <row r="42">
      <c r="A42" s="32" t="inlineStr">
        <is>
          <t>DRV_27</t>
        </is>
      </c>
      <c r="B42" s="32" t="inlineStr">
        <is>
          <t>Grogol</t>
        </is>
      </c>
      <c r="C42" s="32" t="inlineStr">
        <is>
          <t>Mitra LM 2W</t>
        </is>
      </c>
      <c r="D42" s="32" t="n">
        <f>SUMIFS(Data!$E$5:$E$362,Data!$A$5:$A$362,"&gt;="&amp;Dashboard!$B$4,Data!$A$5:$A$362,"&lt;="&amp;Dashboard!$E$4,Data!$B$5:$B$362,$A42)</f>
        <v>618</v>
      </c>
      <c r="E42" s="32" t="n">
        <f>SUMIFS(Data!$F$5:$F$362,Data!$A$5:$A$362,"&gt;="&amp;Dashboard!$B$4,Data!$A$5:$A$362,"&lt;="&amp;Dashboard!$E$4,Data!$B$5:$B$362,$A42)</f>
        <v>618</v>
      </c>
      <c r="F42" s="32" t="n">
        <f>SUMIFS(Data!$G$5:$G$362,Data!$A$5:$A$362,"&gt;="&amp;Dashboard!$B$4,Data!$A$5:$A$362,"&lt;="&amp;Dashboard!$E$4,Data!$B$5:$B$362,$A42)</f>
        <v>0</v>
      </c>
      <c r="G42" s="32" t="n">
        <f>SUMIFS(Data!$H$5:$H$362,Data!$A$5:$A$362,"&gt;="&amp;Dashboard!$B$4,Data!$A$5:$A$362,"&lt;="&amp;Dashboard!$E$4,Data!$B$5:$B$362,$A42)</f>
        <v>0</v>
      </c>
      <c r="H42" s="32" t="n">
        <f>SUMIFS(Data!$I$5:$I$362,Data!$A$5:$A$362,"&gt;="&amp;Dashboard!$B$4,Data!$A$5:$A$362,"&lt;="&amp;Dashboard!$E$4,Data!$B$5:$B$362,$A42)</f>
        <v>0</v>
      </c>
      <c r="I42" s="33" t="n">
        <f>IF(D42=0,"",E42/D42)</f>
        <v>1</v>
      </c>
    </row>
    <row r="43">
      <c r="A43" s="32" t="inlineStr">
        <is>
          <t>DRV_37</t>
        </is>
      </c>
      <c r="B43" s="32" t="inlineStr">
        <is>
          <t>Grogol</t>
        </is>
      </c>
      <c r="C43" s="32" t="inlineStr">
        <is>
          <t>Mitra LM 2W</t>
        </is>
      </c>
      <c r="D43" s="32" t="n">
        <f>SUMIFS(Data!$E$5:$E$362,Data!$A$5:$A$362,"&gt;="&amp;Dashboard!$B$4,Data!$A$5:$A$362,"&lt;="&amp;Dashboard!$E$4,Data!$B$5:$B$362,$A43)</f>
        <v>607</v>
      </c>
      <c r="E43" s="32" t="n">
        <f>SUMIFS(Data!$F$5:$F$362,Data!$A$5:$A$362,"&gt;="&amp;Dashboard!$B$4,Data!$A$5:$A$362,"&lt;="&amp;Dashboard!$E$4,Data!$B$5:$B$362,$A43)</f>
        <v>566</v>
      </c>
      <c r="F43" s="32" t="n">
        <f>SUMIFS(Data!$G$5:$G$362,Data!$A$5:$A$362,"&gt;="&amp;Dashboard!$B$4,Data!$A$5:$A$362,"&lt;="&amp;Dashboard!$E$4,Data!$B$5:$B$362,$A43)</f>
        <v>41</v>
      </c>
      <c r="G43" s="32" t="n">
        <f>SUMIFS(Data!$H$5:$H$362,Data!$A$5:$A$362,"&gt;="&amp;Dashboard!$B$4,Data!$A$5:$A$362,"&lt;="&amp;Dashboard!$E$4,Data!$B$5:$B$362,$A43)</f>
        <v>0</v>
      </c>
      <c r="H43" s="32" t="n">
        <f>SUMIFS(Data!$I$5:$I$362,Data!$A$5:$A$362,"&gt;="&amp;Dashboard!$B$4,Data!$A$5:$A$362,"&lt;="&amp;Dashboard!$E$4,Data!$B$5:$B$362,$A43)</f>
        <v>0</v>
      </c>
      <c r="I43" s="33" t="n">
        <f>IF(D43=0,"",E43/D43)</f>
        <v>0.932454695222405</v>
      </c>
    </row>
    <row r="44">
      <c r="A44" s="32" t="inlineStr">
        <is>
          <t>DRV_38</t>
        </is>
      </c>
      <c r="B44" s="32" t="inlineStr">
        <is>
          <t>Grogol</t>
        </is>
      </c>
      <c r="C44" s="32" t="inlineStr">
        <is>
          <t>Mitra LM 2W</t>
        </is>
      </c>
      <c r="D44" s="32" t="n">
        <f>SUMIFS(Data!$E$5:$E$362,Data!$A$5:$A$362,"&gt;="&amp;Dashboard!$B$4,Data!$A$5:$A$362,"&lt;="&amp;Dashboard!$E$4,Data!$B$5:$B$362,$A44)</f>
        <v>752</v>
      </c>
      <c r="E44" s="32" t="n">
        <f>SUMIFS(Data!$F$5:$F$362,Data!$A$5:$A$362,"&gt;="&amp;Dashboard!$B$4,Data!$A$5:$A$362,"&lt;="&amp;Dashboard!$E$4,Data!$B$5:$B$362,$A44)</f>
        <v>692</v>
      </c>
      <c r="F44" s="32" t="n">
        <f>SUMIFS(Data!$G$5:$G$362,Data!$A$5:$A$362,"&gt;="&amp;Dashboard!$B$4,Data!$A$5:$A$362,"&lt;="&amp;Dashboard!$E$4,Data!$B$5:$B$362,$A44)</f>
        <v>55</v>
      </c>
      <c r="G44" s="32" t="n">
        <f>SUMIFS(Data!$H$5:$H$362,Data!$A$5:$A$362,"&gt;="&amp;Dashboard!$B$4,Data!$A$5:$A$362,"&lt;="&amp;Dashboard!$E$4,Data!$B$5:$B$362,$A44)</f>
        <v>5</v>
      </c>
      <c r="H44" s="32" t="n">
        <f>SUMIFS(Data!$I$5:$I$362,Data!$A$5:$A$362,"&gt;="&amp;Dashboard!$B$4,Data!$A$5:$A$362,"&lt;="&amp;Dashboard!$E$4,Data!$B$5:$B$362,$A44)</f>
        <v>0</v>
      </c>
      <c r="I44" s="33" t="n">
        <f>IF(D44=0,"",E44/D44)</f>
        <v>0.920212765957447</v>
      </c>
    </row>
    <row r="45">
      <c r="A45" s="32" t="inlineStr">
        <is>
          <t>DRV_40</t>
        </is>
      </c>
      <c r="B45" s="32" t="inlineStr">
        <is>
          <t>Grogol</t>
        </is>
      </c>
      <c r="C45" s="32" t="inlineStr">
        <is>
          <t>Dedicated LM 2W</t>
        </is>
      </c>
      <c r="D45" s="32" t="n">
        <f>SUMIFS(Data!$E$5:$E$362,Data!$A$5:$A$362,"&gt;="&amp;Dashboard!$B$4,Data!$A$5:$A$362,"&lt;="&amp;Dashboard!$E$4,Data!$B$5:$B$362,$A45)</f>
        <v>735</v>
      </c>
      <c r="E45" s="32" t="n">
        <f>SUMIFS(Data!$F$5:$F$362,Data!$A$5:$A$362,"&gt;="&amp;Dashboard!$B$4,Data!$A$5:$A$362,"&lt;="&amp;Dashboard!$E$4,Data!$B$5:$B$362,$A45)</f>
        <v>663</v>
      </c>
      <c r="F45" s="32" t="n">
        <f>SUMIFS(Data!$G$5:$G$362,Data!$A$5:$A$362,"&gt;="&amp;Dashboard!$B$4,Data!$A$5:$A$362,"&lt;="&amp;Dashboard!$E$4,Data!$B$5:$B$362,$A45)</f>
        <v>72</v>
      </c>
      <c r="G45" s="32" t="n">
        <f>SUMIFS(Data!$H$5:$H$362,Data!$A$5:$A$362,"&gt;="&amp;Dashboard!$B$4,Data!$A$5:$A$362,"&lt;="&amp;Dashboard!$E$4,Data!$B$5:$B$362,$A45)</f>
        <v>0</v>
      </c>
      <c r="H45" s="32" t="n">
        <f>SUMIFS(Data!$I$5:$I$362,Data!$A$5:$A$362,"&gt;="&amp;Dashboard!$B$4,Data!$A$5:$A$362,"&lt;="&amp;Dashboard!$E$4,Data!$B$5:$B$362,$A45)</f>
        <v>0</v>
      </c>
      <c r="I45" s="33" t="n">
        <f>IF(D45=0,"",E45/D45)</f>
        <v>0.902040816326531</v>
      </c>
    </row>
    <row r="46">
      <c r="A46" s="32" t="inlineStr">
        <is>
          <t>DRV_42</t>
        </is>
      </c>
      <c r="B46" s="32" t="inlineStr">
        <is>
          <t>Grogol</t>
        </is>
      </c>
      <c r="C46" s="32" t="inlineStr">
        <is>
          <t>Mitra LM 2W</t>
        </is>
      </c>
      <c r="D46" s="32" t="n">
        <f>SUMIFS(Data!$E$5:$E$362,Data!$A$5:$A$362,"&gt;="&amp;Dashboard!$B$4,Data!$A$5:$A$362,"&lt;="&amp;Dashboard!$E$4,Data!$B$5:$B$362,$A46)</f>
        <v>549</v>
      </c>
      <c r="E46" s="32" t="n">
        <f>SUMIFS(Data!$F$5:$F$362,Data!$A$5:$A$362,"&gt;="&amp;Dashboard!$B$4,Data!$A$5:$A$362,"&lt;="&amp;Dashboard!$E$4,Data!$B$5:$B$362,$A46)</f>
        <v>549</v>
      </c>
      <c r="F46" s="32" t="n">
        <f>SUMIFS(Data!$G$5:$G$362,Data!$A$5:$A$362,"&gt;="&amp;Dashboard!$B$4,Data!$A$5:$A$362,"&lt;="&amp;Dashboard!$E$4,Data!$B$5:$B$362,$A46)</f>
        <v>0</v>
      </c>
      <c r="G46" s="32" t="n">
        <f>SUMIFS(Data!$H$5:$H$362,Data!$A$5:$A$362,"&gt;="&amp;Dashboard!$B$4,Data!$A$5:$A$362,"&lt;="&amp;Dashboard!$E$4,Data!$B$5:$B$362,$A46)</f>
        <v>0</v>
      </c>
      <c r="H46" s="32" t="n">
        <f>SUMIFS(Data!$I$5:$I$362,Data!$A$5:$A$362,"&gt;="&amp;Dashboard!$B$4,Data!$A$5:$A$362,"&lt;="&amp;Dashboard!$E$4,Data!$B$5:$B$362,$A46)</f>
        <v>0</v>
      </c>
      <c r="I46" s="33" t="n">
        <f>IF(D46=0,"",E46/D46)</f>
        <v>1</v>
      </c>
    </row>
    <row r="47">
      <c r="A47" s="32" t="inlineStr">
        <is>
          <t>DRV_52</t>
        </is>
      </c>
      <c r="B47" s="32" t="inlineStr">
        <is>
          <t>Grogol</t>
        </is>
      </c>
      <c r="C47" s="32" t="inlineStr">
        <is>
          <t>Dedicated LM 2W</t>
        </is>
      </c>
      <c r="D47" s="32" t="n">
        <f>SUMIFS(Data!$E$5:$E$362,Data!$A$5:$A$362,"&gt;="&amp;Dashboard!$B$4,Data!$A$5:$A$362,"&lt;="&amp;Dashboard!$E$4,Data!$B$5:$B$362,$A47)</f>
        <v>896</v>
      </c>
      <c r="E47" s="32" t="n">
        <f>SUMIFS(Data!$F$5:$F$362,Data!$A$5:$A$362,"&gt;="&amp;Dashboard!$B$4,Data!$A$5:$A$362,"&lt;="&amp;Dashboard!$E$4,Data!$B$5:$B$362,$A47)</f>
        <v>815</v>
      </c>
      <c r="F47" s="32" t="n">
        <f>SUMIFS(Data!$G$5:$G$362,Data!$A$5:$A$362,"&gt;="&amp;Dashboard!$B$4,Data!$A$5:$A$362,"&lt;="&amp;Dashboard!$E$4,Data!$B$5:$B$362,$A47)</f>
        <v>80</v>
      </c>
      <c r="G47" s="32" t="n">
        <f>SUMIFS(Data!$H$5:$H$362,Data!$A$5:$A$362,"&gt;="&amp;Dashboard!$B$4,Data!$A$5:$A$362,"&lt;="&amp;Dashboard!$E$4,Data!$B$5:$B$362,$A47)</f>
        <v>1</v>
      </c>
      <c r="H47" s="32" t="n">
        <f>SUMIFS(Data!$I$5:$I$362,Data!$A$5:$A$362,"&gt;="&amp;Dashboard!$B$4,Data!$A$5:$A$362,"&lt;="&amp;Dashboard!$E$4,Data!$B$5:$B$362,$A47)</f>
        <v>0</v>
      </c>
      <c r="I47" s="33" t="n">
        <f>IF(D47=0,"",E47/D47)</f>
        <v>0.909598214285714</v>
      </c>
    </row>
    <row r="48">
      <c r="A48" s="32" t="inlineStr">
        <is>
          <t>DRV_04</t>
        </is>
      </c>
      <c r="B48" s="32" t="inlineStr">
        <is>
          <t>Limo</t>
        </is>
      </c>
      <c r="C48" s="32" t="inlineStr">
        <is>
          <t>Mitra LM 2W</t>
        </is>
      </c>
      <c r="D48" s="32" t="n">
        <f>SUMIFS(Data!$E$5:$E$362,Data!$A$5:$A$362,"&gt;="&amp;Dashboard!$B$4,Data!$A$5:$A$362,"&lt;="&amp;Dashboard!$E$4,Data!$B$5:$B$362,$A48)</f>
        <v>534</v>
      </c>
      <c r="E48" s="32" t="n">
        <f>SUMIFS(Data!$F$5:$F$362,Data!$A$5:$A$362,"&gt;="&amp;Dashboard!$B$4,Data!$A$5:$A$362,"&lt;="&amp;Dashboard!$E$4,Data!$B$5:$B$362,$A48)</f>
        <v>496</v>
      </c>
      <c r="F48" s="32" t="n">
        <f>SUMIFS(Data!$G$5:$G$362,Data!$A$5:$A$362,"&gt;="&amp;Dashboard!$B$4,Data!$A$5:$A$362,"&lt;="&amp;Dashboard!$E$4,Data!$B$5:$B$362,$A48)</f>
        <v>36</v>
      </c>
      <c r="G48" s="32" t="n">
        <f>SUMIFS(Data!$H$5:$H$362,Data!$A$5:$A$362,"&gt;="&amp;Dashboard!$B$4,Data!$A$5:$A$362,"&lt;="&amp;Dashboard!$E$4,Data!$B$5:$B$362,$A48)</f>
        <v>2</v>
      </c>
      <c r="H48" s="32" t="n">
        <f>SUMIFS(Data!$I$5:$I$362,Data!$A$5:$A$362,"&gt;="&amp;Dashboard!$B$4,Data!$A$5:$A$362,"&lt;="&amp;Dashboard!$E$4,Data!$B$5:$B$362,$A48)</f>
        <v>0</v>
      </c>
      <c r="I48" s="33" t="n">
        <f>IF(D48=0,"",E48/D48)</f>
        <v>0.928838951310862</v>
      </c>
    </row>
    <row r="49">
      <c r="A49" s="32" t="inlineStr">
        <is>
          <t>DRV_22</t>
        </is>
      </c>
      <c r="B49" s="32" t="inlineStr">
        <is>
          <t>Limo</t>
        </is>
      </c>
      <c r="C49" s="32" t="inlineStr">
        <is>
          <t>Mitra LM 2W</t>
        </is>
      </c>
      <c r="D49" s="32" t="n">
        <f>SUMIFS(Data!$E$5:$E$362,Data!$A$5:$A$362,"&gt;="&amp;Dashboard!$B$4,Data!$A$5:$A$362,"&lt;="&amp;Dashboard!$E$4,Data!$B$5:$B$362,$A49)</f>
        <v>627</v>
      </c>
      <c r="E49" s="32" t="n">
        <f>SUMIFS(Data!$F$5:$F$362,Data!$A$5:$A$362,"&gt;="&amp;Dashboard!$B$4,Data!$A$5:$A$362,"&lt;="&amp;Dashboard!$E$4,Data!$B$5:$B$362,$A49)</f>
        <v>562</v>
      </c>
      <c r="F49" s="32" t="n">
        <f>SUMIFS(Data!$G$5:$G$362,Data!$A$5:$A$362,"&gt;="&amp;Dashboard!$B$4,Data!$A$5:$A$362,"&lt;="&amp;Dashboard!$E$4,Data!$B$5:$B$362,$A49)</f>
        <v>65</v>
      </c>
      <c r="G49" s="32" t="n">
        <f>SUMIFS(Data!$H$5:$H$362,Data!$A$5:$A$362,"&gt;="&amp;Dashboard!$B$4,Data!$A$5:$A$362,"&lt;="&amp;Dashboard!$E$4,Data!$B$5:$B$362,$A49)</f>
        <v>0</v>
      </c>
      <c r="H49" s="32" t="n">
        <f>SUMIFS(Data!$I$5:$I$362,Data!$A$5:$A$362,"&gt;="&amp;Dashboard!$B$4,Data!$A$5:$A$362,"&lt;="&amp;Dashboard!$E$4,Data!$B$5:$B$362,$A49)</f>
        <v>0</v>
      </c>
      <c r="I49" s="33" t="n">
        <f>IF(D49=0,"",E49/D49)</f>
        <v>0.896331738437002</v>
      </c>
    </row>
    <row r="50">
      <c r="A50" s="32" t="inlineStr">
        <is>
          <t>DRV_34</t>
        </is>
      </c>
      <c r="B50" s="32" t="inlineStr">
        <is>
          <t>Limo</t>
        </is>
      </c>
      <c r="C50" s="32" t="inlineStr">
        <is>
          <t>Mitra LM 2W</t>
        </is>
      </c>
      <c r="D50" s="32" t="n">
        <f>SUMIFS(Data!$E$5:$E$362,Data!$A$5:$A$362,"&gt;="&amp;Dashboard!$B$4,Data!$A$5:$A$362,"&lt;="&amp;Dashboard!$E$4,Data!$B$5:$B$362,$A50)</f>
        <v>727</v>
      </c>
      <c r="E50" s="32" t="n">
        <f>SUMIFS(Data!$F$5:$F$362,Data!$A$5:$A$362,"&gt;="&amp;Dashboard!$B$4,Data!$A$5:$A$362,"&lt;="&amp;Dashboard!$E$4,Data!$B$5:$B$362,$A50)</f>
        <v>659</v>
      </c>
      <c r="F50" s="32" t="n">
        <f>SUMIFS(Data!$G$5:$G$362,Data!$A$5:$A$362,"&gt;="&amp;Dashboard!$B$4,Data!$A$5:$A$362,"&lt;="&amp;Dashboard!$E$4,Data!$B$5:$B$362,$A50)</f>
        <v>64</v>
      </c>
      <c r="G50" s="32" t="n">
        <f>SUMIFS(Data!$H$5:$H$362,Data!$A$5:$A$362,"&gt;="&amp;Dashboard!$B$4,Data!$A$5:$A$362,"&lt;="&amp;Dashboard!$E$4,Data!$B$5:$B$362,$A50)</f>
        <v>4</v>
      </c>
      <c r="H50" s="32" t="n">
        <f>SUMIFS(Data!$I$5:$I$362,Data!$A$5:$A$362,"&gt;="&amp;Dashboard!$B$4,Data!$A$5:$A$362,"&lt;="&amp;Dashboard!$E$4,Data!$B$5:$B$362,$A50)</f>
        <v>0</v>
      </c>
      <c r="I50" s="33" t="n">
        <f>IF(D50=0,"",E50/D50)</f>
        <v>0.90646492434663</v>
      </c>
    </row>
    <row r="51">
      <c r="A51" s="32" t="inlineStr">
        <is>
          <t>DRV_47</t>
        </is>
      </c>
      <c r="B51" s="32" t="inlineStr">
        <is>
          <t>Limo</t>
        </is>
      </c>
      <c r="C51" s="32" t="inlineStr">
        <is>
          <t>Dedicated LM 2W</t>
        </is>
      </c>
      <c r="D51" s="32" t="n">
        <f>SUMIFS(Data!$E$5:$E$362,Data!$A$5:$A$362,"&gt;="&amp;Dashboard!$B$4,Data!$A$5:$A$362,"&lt;="&amp;Dashboard!$E$4,Data!$B$5:$B$362,$A51)</f>
        <v>941</v>
      </c>
      <c r="E51" s="32" t="n">
        <f>SUMIFS(Data!$F$5:$F$362,Data!$A$5:$A$362,"&gt;="&amp;Dashboard!$B$4,Data!$A$5:$A$362,"&lt;="&amp;Dashboard!$E$4,Data!$B$5:$B$362,$A51)</f>
        <v>869</v>
      </c>
      <c r="F51" s="32" t="n">
        <f>SUMIFS(Data!$G$5:$G$362,Data!$A$5:$A$362,"&gt;="&amp;Dashboard!$B$4,Data!$A$5:$A$362,"&lt;="&amp;Dashboard!$E$4,Data!$B$5:$B$362,$A51)</f>
        <v>72</v>
      </c>
      <c r="G51" s="32" t="n">
        <f>SUMIFS(Data!$H$5:$H$362,Data!$A$5:$A$362,"&gt;="&amp;Dashboard!$B$4,Data!$A$5:$A$362,"&lt;="&amp;Dashboard!$E$4,Data!$B$5:$B$362,$A51)</f>
        <v>0</v>
      </c>
      <c r="H51" s="32" t="n">
        <f>SUMIFS(Data!$I$5:$I$362,Data!$A$5:$A$362,"&gt;="&amp;Dashboard!$B$4,Data!$A$5:$A$362,"&lt;="&amp;Dashboard!$E$4,Data!$B$5:$B$362,$A51)</f>
        <v>0</v>
      </c>
      <c r="I51" s="33" t="n">
        <f>IF(D51=0,"",E51/D51)</f>
        <v>0.923485653560043</v>
      </c>
    </row>
    <row r="52">
      <c r="A52" s="32" t="inlineStr">
        <is>
          <t>DRV_49</t>
        </is>
      </c>
      <c r="B52" s="32" t="inlineStr">
        <is>
          <t>Limo</t>
        </is>
      </c>
      <c r="C52" s="32" t="inlineStr">
        <is>
          <t>Mitra LM 2W</t>
        </is>
      </c>
      <c r="D52" s="32" t="n">
        <f>SUMIFS(Data!$E$5:$E$362,Data!$A$5:$A$362,"&gt;="&amp;Dashboard!$B$4,Data!$A$5:$A$362,"&lt;="&amp;Dashboard!$E$4,Data!$B$5:$B$362,$A52)</f>
        <v>551</v>
      </c>
      <c r="E52" s="32" t="n">
        <f>SUMIFS(Data!$F$5:$F$362,Data!$A$5:$A$362,"&gt;="&amp;Dashboard!$B$4,Data!$A$5:$A$362,"&lt;="&amp;Dashboard!$E$4,Data!$B$5:$B$362,$A52)</f>
        <v>551</v>
      </c>
      <c r="F52" s="32" t="n">
        <f>SUMIFS(Data!$G$5:$G$362,Data!$A$5:$A$362,"&gt;="&amp;Dashboard!$B$4,Data!$A$5:$A$362,"&lt;="&amp;Dashboard!$E$4,Data!$B$5:$B$362,$A52)</f>
        <v>0</v>
      </c>
      <c r="G52" s="32" t="n">
        <f>SUMIFS(Data!$H$5:$H$362,Data!$A$5:$A$362,"&gt;="&amp;Dashboard!$B$4,Data!$A$5:$A$362,"&lt;="&amp;Dashboard!$E$4,Data!$B$5:$B$362,$A52)</f>
        <v>0</v>
      </c>
      <c r="H52" s="32" t="n">
        <f>SUMIFS(Data!$I$5:$I$362,Data!$A$5:$A$362,"&gt;="&amp;Dashboard!$B$4,Data!$A$5:$A$362,"&lt;="&amp;Dashboard!$E$4,Data!$B$5:$B$362,$A52)</f>
        <v>0</v>
      </c>
      <c r="I52" s="33" t="n">
        <f>IF(D52=0,"",E52/D52)</f>
        <v>1</v>
      </c>
    </row>
    <row r="53">
      <c r="A53" s="32" t="inlineStr">
        <is>
          <t>DRV_10</t>
        </is>
      </c>
      <c r="B53" s="32" t="inlineStr">
        <is>
          <t>Meruyung</t>
        </is>
      </c>
      <c r="C53" s="32" t="inlineStr">
        <is>
          <t>Mitra LM 2W</t>
        </is>
      </c>
      <c r="D53" s="32" t="n">
        <f>SUMIFS(Data!$E$5:$E$362,Data!$A$5:$A$362,"&gt;="&amp;Dashboard!$B$4,Data!$A$5:$A$362,"&lt;="&amp;Dashboard!$E$4,Data!$B$5:$B$362,$A53)</f>
        <v>587</v>
      </c>
      <c r="E53" s="32" t="n">
        <f>SUMIFS(Data!$F$5:$F$362,Data!$A$5:$A$362,"&gt;="&amp;Dashboard!$B$4,Data!$A$5:$A$362,"&lt;="&amp;Dashboard!$E$4,Data!$B$5:$B$362,$A53)</f>
        <v>572</v>
      </c>
      <c r="F53" s="32" t="n">
        <f>SUMIFS(Data!$G$5:$G$362,Data!$A$5:$A$362,"&gt;="&amp;Dashboard!$B$4,Data!$A$5:$A$362,"&lt;="&amp;Dashboard!$E$4,Data!$B$5:$B$362,$A53)</f>
        <v>11</v>
      </c>
      <c r="G53" s="32" t="n">
        <f>SUMIFS(Data!$H$5:$H$362,Data!$A$5:$A$362,"&gt;="&amp;Dashboard!$B$4,Data!$A$5:$A$362,"&lt;="&amp;Dashboard!$E$4,Data!$B$5:$B$362,$A53)</f>
        <v>4</v>
      </c>
      <c r="H53" s="32" t="n">
        <f>SUMIFS(Data!$I$5:$I$362,Data!$A$5:$A$362,"&gt;="&amp;Dashboard!$B$4,Data!$A$5:$A$362,"&lt;="&amp;Dashboard!$E$4,Data!$B$5:$B$362,$A53)</f>
        <v>0</v>
      </c>
      <c r="I53" s="33" t="n">
        <f>IF(D53=0,"",E53/D53)</f>
        <v>0.974446337308348</v>
      </c>
    </row>
    <row r="54">
      <c r="A54" s="32" t="inlineStr">
        <is>
          <t>DRV_16</t>
        </is>
      </c>
      <c r="B54" s="32" t="inlineStr">
        <is>
          <t>Meruyung</t>
        </is>
      </c>
      <c r="C54" s="32" t="inlineStr">
        <is>
          <t>Mitra LM 2W</t>
        </is>
      </c>
      <c r="D54" s="32" t="n">
        <f>SUMIFS(Data!$E$5:$E$362,Data!$A$5:$A$362,"&gt;="&amp;Dashboard!$B$4,Data!$A$5:$A$362,"&lt;="&amp;Dashboard!$E$4,Data!$B$5:$B$362,$A54)</f>
        <v>716</v>
      </c>
      <c r="E54" s="32" t="n">
        <f>SUMIFS(Data!$F$5:$F$362,Data!$A$5:$A$362,"&gt;="&amp;Dashboard!$B$4,Data!$A$5:$A$362,"&lt;="&amp;Dashboard!$E$4,Data!$B$5:$B$362,$A54)</f>
        <v>660</v>
      </c>
      <c r="F54" s="32" t="n">
        <f>SUMIFS(Data!$G$5:$G$362,Data!$A$5:$A$362,"&gt;="&amp;Dashboard!$B$4,Data!$A$5:$A$362,"&lt;="&amp;Dashboard!$E$4,Data!$B$5:$B$362,$A54)</f>
        <v>56</v>
      </c>
      <c r="G54" s="32" t="n">
        <f>SUMIFS(Data!$H$5:$H$362,Data!$A$5:$A$362,"&gt;="&amp;Dashboard!$B$4,Data!$A$5:$A$362,"&lt;="&amp;Dashboard!$E$4,Data!$B$5:$B$362,$A54)</f>
        <v>0</v>
      </c>
      <c r="H54" s="32" t="n">
        <f>SUMIFS(Data!$I$5:$I$362,Data!$A$5:$A$362,"&gt;="&amp;Dashboard!$B$4,Data!$A$5:$A$362,"&lt;="&amp;Dashboard!$E$4,Data!$B$5:$B$362,$A54)</f>
        <v>0</v>
      </c>
      <c r="I54" s="33" t="n">
        <f>IF(D54=0,"",E54/D54)</f>
        <v>0.921787709497207</v>
      </c>
    </row>
    <row r="55">
      <c r="A55" s="32" t="inlineStr">
        <is>
          <t>DRV_19</t>
        </is>
      </c>
      <c r="B55" s="32" t="inlineStr">
        <is>
          <t>Meruyung</t>
        </is>
      </c>
      <c r="C55" s="32" t="inlineStr">
        <is>
          <t>Mitra LM 2W</t>
        </is>
      </c>
      <c r="D55" s="32" t="n">
        <f>SUMIFS(Data!$E$5:$E$362,Data!$A$5:$A$362,"&gt;="&amp;Dashboard!$B$4,Data!$A$5:$A$362,"&lt;="&amp;Dashboard!$E$4,Data!$B$5:$B$362,$A55)</f>
        <v>510</v>
      </c>
      <c r="E55" s="32" t="n">
        <f>SUMIFS(Data!$F$5:$F$362,Data!$A$5:$A$362,"&gt;="&amp;Dashboard!$B$4,Data!$A$5:$A$362,"&lt;="&amp;Dashboard!$E$4,Data!$B$5:$B$362,$A55)</f>
        <v>451</v>
      </c>
      <c r="F55" s="32" t="n">
        <f>SUMIFS(Data!$G$5:$G$362,Data!$A$5:$A$362,"&gt;="&amp;Dashboard!$B$4,Data!$A$5:$A$362,"&lt;="&amp;Dashboard!$E$4,Data!$B$5:$B$362,$A55)</f>
        <v>59</v>
      </c>
      <c r="G55" s="32" t="n">
        <f>SUMIFS(Data!$H$5:$H$362,Data!$A$5:$A$362,"&gt;="&amp;Dashboard!$B$4,Data!$A$5:$A$362,"&lt;="&amp;Dashboard!$E$4,Data!$B$5:$B$362,$A55)</f>
        <v>0</v>
      </c>
      <c r="H55" s="32" t="n">
        <f>SUMIFS(Data!$I$5:$I$362,Data!$A$5:$A$362,"&gt;="&amp;Dashboard!$B$4,Data!$A$5:$A$362,"&lt;="&amp;Dashboard!$E$4,Data!$B$5:$B$362,$A55)</f>
        <v>0</v>
      </c>
      <c r="I55" s="33" t="n">
        <f>IF(D55=0,"",E55/D55)</f>
        <v>0.884313725490196</v>
      </c>
    </row>
    <row r="56">
      <c r="A56" s="32" t="inlineStr">
        <is>
          <t>DRV_18</t>
        </is>
      </c>
      <c r="B56" s="32" t="inlineStr">
        <is>
          <t>Meruyung</t>
        </is>
      </c>
      <c r="C56" s="32" t="inlineStr">
        <is>
          <t>Mitra LM 2W</t>
        </is>
      </c>
      <c r="D56" s="32" t="n">
        <f>SUMIFS(Data!$E$5:$E$362,Data!$A$5:$A$362,"&gt;="&amp;Dashboard!$B$4,Data!$A$5:$A$362,"&lt;="&amp;Dashboard!$E$4,Data!$B$5:$B$362,$A56)</f>
        <v>686</v>
      </c>
      <c r="E56" s="32" t="n">
        <f>SUMIFS(Data!$F$5:$F$362,Data!$A$5:$A$362,"&gt;="&amp;Dashboard!$B$4,Data!$A$5:$A$362,"&lt;="&amp;Dashboard!$E$4,Data!$B$5:$B$362,$A56)</f>
        <v>622</v>
      </c>
      <c r="F56" s="32" t="n">
        <f>SUMIFS(Data!$G$5:$G$362,Data!$A$5:$A$362,"&gt;="&amp;Dashboard!$B$4,Data!$A$5:$A$362,"&lt;="&amp;Dashboard!$E$4,Data!$B$5:$B$362,$A56)</f>
        <v>62</v>
      </c>
      <c r="G56" s="32" t="n">
        <f>SUMIFS(Data!$H$5:$H$362,Data!$A$5:$A$362,"&gt;="&amp;Dashboard!$B$4,Data!$A$5:$A$362,"&lt;="&amp;Dashboard!$E$4,Data!$B$5:$B$362,$A56)</f>
        <v>2</v>
      </c>
      <c r="H56" s="32" t="n">
        <f>SUMIFS(Data!$I$5:$I$362,Data!$A$5:$A$362,"&gt;="&amp;Dashboard!$B$4,Data!$A$5:$A$362,"&lt;="&amp;Dashboard!$E$4,Data!$B$5:$B$362,$A56)</f>
        <v>0</v>
      </c>
      <c r="I56" s="33" t="n">
        <f>IF(D56=0,"",E56/D56)</f>
        <v>0.906705539358601</v>
      </c>
    </row>
    <row r="57">
      <c r="A57" s="32" t="inlineStr">
        <is>
          <t>DRV_23</t>
        </is>
      </c>
      <c r="B57" s="32" t="inlineStr">
        <is>
          <t>Meruyung</t>
        </is>
      </c>
      <c r="C57" s="32" t="inlineStr">
        <is>
          <t>Mitra LM 2W</t>
        </is>
      </c>
      <c r="D57" s="32" t="n">
        <f>SUMIFS(Data!$E$5:$E$362,Data!$A$5:$A$362,"&gt;="&amp;Dashboard!$B$4,Data!$A$5:$A$362,"&lt;="&amp;Dashboard!$E$4,Data!$B$5:$B$362,$A57)</f>
        <v>645</v>
      </c>
      <c r="E57" s="32" t="n">
        <f>SUMIFS(Data!$F$5:$F$362,Data!$A$5:$A$362,"&gt;="&amp;Dashboard!$B$4,Data!$A$5:$A$362,"&lt;="&amp;Dashboard!$E$4,Data!$B$5:$B$362,$A57)</f>
        <v>595</v>
      </c>
      <c r="F57" s="32" t="n">
        <f>SUMIFS(Data!$G$5:$G$362,Data!$A$5:$A$362,"&gt;="&amp;Dashboard!$B$4,Data!$A$5:$A$362,"&lt;="&amp;Dashboard!$E$4,Data!$B$5:$B$362,$A57)</f>
        <v>49</v>
      </c>
      <c r="G57" s="32" t="n">
        <f>SUMIFS(Data!$H$5:$H$362,Data!$A$5:$A$362,"&gt;="&amp;Dashboard!$B$4,Data!$A$5:$A$362,"&lt;="&amp;Dashboard!$E$4,Data!$B$5:$B$362,$A57)</f>
        <v>1</v>
      </c>
      <c r="H57" s="32" t="n">
        <f>SUMIFS(Data!$I$5:$I$362,Data!$A$5:$A$362,"&gt;="&amp;Dashboard!$B$4,Data!$A$5:$A$362,"&lt;="&amp;Dashboard!$E$4,Data!$B$5:$B$362,$A57)</f>
        <v>0</v>
      </c>
      <c r="I57" s="33" t="n">
        <f>IF(D57=0,"",E57/D57)</f>
        <v>0.922480620155039</v>
      </c>
    </row>
    <row r="58">
      <c r="A58" s="32" t="inlineStr">
        <is>
          <t>DRV_30</t>
        </is>
      </c>
      <c r="B58" s="32" t="inlineStr">
        <is>
          <t>Meruyung</t>
        </is>
      </c>
      <c r="C58" s="32" t="inlineStr">
        <is>
          <t>Mitra LM 2W</t>
        </is>
      </c>
      <c r="D58" s="32" t="n">
        <f>SUMIFS(Data!$E$5:$E$362,Data!$A$5:$A$362,"&gt;="&amp;Dashboard!$B$4,Data!$A$5:$A$362,"&lt;="&amp;Dashboard!$E$4,Data!$B$5:$B$362,$A58)</f>
        <v>547</v>
      </c>
      <c r="E58" s="32" t="n">
        <f>SUMIFS(Data!$F$5:$F$362,Data!$A$5:$A$362,"&gt;="&amp;Dashboard!$B$4,Data!$A$5:$A$362,"&lt;="&amp;Dashboard!$E$4,Data!$B$5:$B$362,$A58)</f>
        <v>547</v>
      </c>
      <c r="F58" s="32" t="n">
        <f>SUMIFS(Data!$G$5:$G$362,Data!$A$5:$A$362,"&gt;="&amp;Dashboard!$B$4,Data!$A$5:$A$362,"&lt;="&amp;Dashboard!$E$4,Data!$B$5:$B$362,$A58)</f>
        <v>0</v>
      </c>
      <c r="G58" s="32" t="n">
        <f>SUMIFS(Data!$H$5:$H$362,Data!$A$5:$A$362,"&gt;="&amp;Dashboard!$B$4,Data!$A$5:$A$362,"&lt;="&amp;Dashboard!$E$4,Data!$B$5:$B$362,$A58)</f>
        <v>0</v>
      </c>
      <c r="H58" s="32" t="n">
        <f>SUMIFS(Data!$I$5:$I$362,Data!$A$5:$A$362,"&gt;="&amp;Dashboard!$B$4,Data!$A$5:$A$362,"&lt;="&amp;Dashboard!$E$4,Data!$B$5:$B$362,$A58)</f>
        <v>0</v>
      </c>
      <c r="I58" s="33" t="n">
        <f>IF(D58=0,"",E58/D58)</f>
        <v>1</v>
      </c>
    </row>
    <row r="59">
      <c r="A59" s="32" t="inlineStr">
        <is>
          <t>DRV_43</t>
        </is>
      </c>
      <c r="B59" s="32" t="inlineStr">
        <is>
          <t>Meruyung</t>
        </is>
      </c>
      <c r="C59" s="32" t="inlineStr">
        <is>
          <t>Mitra LM 2W</t>
        </is>
      </c>
      <c r="D59" s="32" t="n">
        <f>SUMIFS(Data!$E$5:$E$362,Data!$A$5:$A$362,"&gt;="&amp;Dashboard!$B$4,Data!$A$5:$A$362,"&lt;="&amp;Dashboard!$E$4,Data!$B$5:$B$362,$A59)</f>
        <v>703</v>
      </c>
      <c r="E59" s="32" t="n">
        <f>SUMIFS(Data!$F$5:$F$362,Data!$A$5:$A$362,"&gt;="&amp;Dashboard!$B$4,Data!$A$5:$A$362,"&lt;="&amp;Dashboard!$E$4,Data!$B$5:$B$362,$A59)</f>
        <v>635</v>
      </c>
      <c r="F59" s="32" t="n">
        <f>SUMIFS(Data!$G$5:$G$362,Data!$A$5:$A$362,"&gt;="&amp;Dashboard!$B$4,Data!$A$5:$A$362,"&lt;="&amp;Dashboard!$E$4,Data!$B$5:$B$362,$A59)</f>
        <v>67</v>
      </c>
      <c r="G59" s="32" t="n">
        <f>SUMIFS(Data!$H$5:$H$362,Data!$A$5:$A$362,"&gt;="&amp;Dashboard!$B$4,Data!$A$5:$A$362,"&lt;="&amp;Dashboard!$E$4,Data!$B$5:$B$362,$A59)</f>
        <v>1</v>
      </c>
      <c r="H59" s="32" t="n">
        <f>SUMIFS(Data!$I$5:$I$362,Data!$A$5:$A$362,"&gt;="&amp;Dashboard!$B$4,Data!$A$5:$A$362,"&lt;="&amp;Dashboard!$E$4,Data!$B$5:$B$362,$A59)</f>
        <v>0</v>
      </c>
      <c r="I59" s="33" t="n">
        <f>IF(D59=0,"",E59/D59)</f>
        <v>0.903271692745377</v>
      </c>
    </row>
  </sheetData>
  <mergeCells count="2">
    <mergeCell ref="A1:I1"/>
    <mergeCell ref="A2:I2"/>
  </mergeCells>
  <conditionalFormatting sqref="D5:D59">
    <cfRule type="dataBar" priority="1">
      <dataBar showValue="1">
        <cfvo type="num" val="0"/>
        <cfvo type="max"/>
        <color rgb="001565C0"/>
      </dataBar>
    </cfRule>
  </conditionalFormatting>
  <conditionalFormatting sqref="I5:I59">
    <cfRule type="colorScale" priority="2">
      <colorScale>
        <cfvo type="min"/>
        <cfvo type="percentile" val="50"/>
        <cfvo type="max"/>
        <color rgb="00FADBD8"/>
        <color rgb="00FFF2CC"/>
        <color rgb="00C6EFCE"/>
      </colorScale>
    </cfRule>
  </conditionalFormatting>
  <conditionalFormatting sqref="G5:G59">
    <cfRule type="cellIs" priority="3" operator="greaterThan" dxfId="0">
      <formula>0</formula>
    </cfRule>
  </conditionalFormatting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B677A"/>
    <outlinePr summaryBelow="1" summaryRight="1"/>
    <pageSetUpPr fitToPage="1"/>
  </sheetPr>
  <dimension ref="A1:J3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4" customWidth="1" min="3" max="3"/>
    <col width="18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5" customWidth="1" min="10" max="10"/>
  </cols>
  <sheetData>
    <row r="1" ht="34" customHeight="1">
      <c r="A1" s="1" t="inlineStr">
        <is>
          <t>DATA ANONIM — OFD COHORT</t>
        </is>
      </c>
    </row>
    <row r="2" ht="22" customHeight="1">
      <c r="A2" s="2" t="inlineStr">
        <is>
          <t>358 baris agregat tanggal × kurir; identitas kurir diganti Driver_ID.</t>
        </is>
      </c>
    </row>
    <row r="4" ht="24" customHeight="1">
      <c r="A4" s="17" t="inlineStr">
        <is>
          <t>Tanggal OFD</t>
        </is>
      </c>
      <c r="B4" s="17" t="inlineStr">
        <is>
          <t>Driver ID</t>
        </is>
      </c>
      <c r="C4" s="17" t="inlineStr">
        <is>
          <t>Zona</t>
        </is>
      </c>
      <c r="D4" s="17" t="inlineStr">
        <is>
          <t>Tipe</t>
        </is>
      </c>
      <c r="E4" s="17" t="inlineStr">
        <is>
          <t>Volume</t>
        </is>
      </c>
      <c r="F4" s="17" t="inlineStr">
        <is>
          <t>Delivered</t>
        </is>
      </c>
      <c r="G4" s="17" t="inlineStr">
        <is>
          <t>Ongoing</t>
        </is>
      </c>
      <c r="H4" s="17" t="inlineStr">
        <is>
          <t>Failed</t>
        </is>
      </c>
      <c r="I4" s="17" t="inlineStr">
        <is>
          <t>Other</t>
        </is>
      </c>
      <c r="J4" s="17" t="inlineStr">
        <is>
          <t>Delivery Rate</t>
        </is>
      </c>
    </row>
    <row r="5">
      <c r="A5" s="34" t="n">
        <v>46296</v>
      </c>
      <c r="B5" s="35" t="inlineStr">
        <is>
          <t>DRV_02</t>
        </is>
      </c>
      <c r="C5" s="35" t="inlineStr">
        <is>
          <t>Grogol</t>
        </is>
      </c>
      <c r="D5" s="35" t="inlineStr">
        <is>
          <t>Mitra LM 2W</t>
        </is>
      </c>
      <c r="E5" s="35" t="n">
        <v>119</v>
      </c>
      <c r="F5" s="35" t="n">
        <v>119</v>
      </c>
      <c r="G5" s="35" t="n">
        <v>0</v>
      </c>
      <c r="H5" s="35" t="n">
        <v>0</v>
      </c>
      <c r="I5" s="35" t="n">
        <f>E5-SUM(F5:H5)</f>
        <v>0</v>
      </c>
      <c r="J5" s="36" t="n">
        <f>IFERROR(F5/E5,0)</f>
        <v>1</v>
      </c>
    </row>
    <row r="6">
      <c r="A6" s="34" t="n">
        <v>46296</v>
      </c>
      <c r="B6" s="35" t="inlineStr">
        <is>
          <t>DRV_04</t>
        </is>
      </c>
      <c r="C6" s="35" t="inlineStr">
        <is>
          <t>Limo</t>
        </is>
      </c>
      <c r="D6" s="35" t="inlineStr">
        <is>
          <t>Mitra LM 2W</t>
        </is>
      </c>
      <c r="E6" s="35" t="n">
        <v>78</v>
      </c>
      <c r="F6" s="35" t="n">
        <v>78</v>
      </c>
      <c r="G6" s="35" t="n">
        <v>0</v>
      </c>
      <c r="H6" s="35" t="n">
        <v>0</v>
      </c>
      <c r="I6" s="35" t="n">
        <f>E6-SUM(F6:H6)</f>
        <v>0</v>
      </c>
      <c r="J6" s="36" t="n">
        <f>IFERROR(F6/E6,0)</f>
        <v>1</v>
      </c>
    </row>
    <row r="7">
      <c r="A7" s="34" t="n">
        <v>46296</v>
      </c>
      <c r="B7" s="35" t="inlineStr">
        <is>
          <t>DRV_05</t>
        </is>
      </c>
      <c r="C7" s="35" t="inlineStr">
        <is>
          <t>GANDUL</t>
        </is>
      </c>
      <c r="D7" s="35" t="inlineStr">
        <is>
          <t>Mitra LM 2W</t>
        </is>
      </c>
      <c r="E7" s="35" t="n">
        <v>93</v>
      </c>
      <c r="F7" s="35" t="n">
        <v>93</v>
      </c>
      <c r="G7" s="35" t="n">
        <v>0</v>
      </c>
      <c r="H7" s="35" t="n">
        <v>0</v>
      </c>
      <c r="I7" s="35" t="n">
        <f>E7-SUM(F7:H7)</f>
        <v>0</v>
      </c>
      <c r="J7" s="36" t="n">
        <f>IFERROR(F7/E7,0)</f>
        <v>1</v>
      </c>
    </row>
    <row r="8">
      <c r="A8" s="34" t="n">
        <v>46296</v>
      </c>
      <c r="B8" s="35" t="inlineStr">
        <is>
          <t>DRV_06</t>
        </is>
      </c>
      <c r="C8" s="35" t="inlineStr">
        <is>
          <t>Grogol</t>
        </is>
      </c>
      <c r="D8" s="35" t="inlineStr">
        <is>
          <t>Mitra LM 2W</t>
        </is>
      </c>
      <c r="E8" s="35" t="n">
        <v>110</v>
      </c>
      <c r="F8" s="35" t="n">
        <v>110</v>
      </c>
      <c r="G8" s="35" t="n">
        <v>0</v>
      </c>
      <c r="H8" s="35" t="n">
        <v>0</v>
      </c>
      <c r="I8" s="35" t="n">
        <f>E8-SUM(F8:H8)</f>
        <v>0</v>
      </c>
      <c r="J8" s="36" t="n">
        <f>IFERROR(F8/E8,0)</f>
        <v>1</v>
      </c>
    </row>
    <row r="9">
      <c r="A9" s="34" t="n">
        <v>46296</v>
      </c>
      <c r="B9" s="35" t="inlineStr">
        <is>
          <t>DRV_07</t>
        </is>
      </c>
      <c r="C9" s="35" t="inlineStr">
        <is>
          <t>CINERE</t>
        </is>
      </c>
      <c r="D9" s="35" t="inlineStr">
        <is>
          <t>Mitra LM 2W</t>
        </is>
      </c>
      <c r="E9" s="35" t="n">
        <v>119</v>
      </c>
      <c r="F9" s="35" t="n">
        <v>119</v>
      </c>
      <c r="G9" s="35" t="n">
        <v>0</v>
      </c>
      <c r="H9" s="35" t="n">
        <v>0</v>
      </c>
      <c r="I9" s="35" t="n">
        <f>E9-SUM(F9:H9)</f>
        <v>0</v>
      </c>
      <c r="J9" s="36" t="n">
        <f>IFERROR(F9/E9,0)</f>
        <v>1</v>
      </c>
    </row>
    <row r="10">
      <c r="A10" s="34" t="n">
        <v>46296</v>
      </c>
      <c r="B10" s="35" t="inlineStr">
        <is>
          <t>DRV_08</t>
        </is>
      </c>
      <c r="C10" s="35" t="inlineStr">
        <is>
          <t>CINERE</t>
        </is>
      </c>
      <c r="D10" s="35" t="inlineStr">
        <is>
          <t>Mitra LM 2W</t>
        </is>
      </c>
      <c r="E10" s="35" t="n">
        <v>90</v>
      </c>
      <c r="F10" s="35" t="n">
        <v>90</v>
      </c>
      <c r="G10" s="35" t="n">
        <v>0</v>
      </c>
      <c r="H10" s="35" t="n">
        <v>0</v>
      </c>
      <c r="I10" s="35" t="n">
        <f>E10-SUM(F10:H10)</f>
        <v>0</v>
      </c>
      <c r="J10" s="36" t="n">
        <f>IFERROR(F10/E10,0)</f>
        <v>1</v>
      </c>
    </row>
    <row r="11">
      <c r="A11" s="34" t="n">
        <v>46296</v>
      </c>
      <c r="B11" s="35" t="inlineStr">
        <is>
          <t>DRV_10</t>
        </is>
      </c>
      <c r="C11" s="35" t="inlineStr">
        <is>
          <t>Meruyung</t>
        </is>
      </c>
      <c r="D11" s="35" t="inlineStr">
        <is>
          <t>Mitra LM 2W</t>
        </is>
      </c>
      <c r="E11" s="35" t="n">
        <v>83</v>
      </c>
      <c r="F11" s="35" t="n">
        <v>83</v>
      </c>
      <c r="G11" s="35" t="n">
        <v>0</v>
      </c>
      <c r="H11" s="35" t="n">
        <v>0</v>
      </c>
      <c r="I11" s="35" t="n">
        <f>E11-SUM(F11:H11)</f>
        <v>0</v>
      </c>
      <c r="J11" s="36" t="n">
        <f>IFERROR(F11/E11,0)</f>
        <v>1</v>
      </c>
    </row>
    <row r="12">
      <c r="A12" s="34" t="n">
        <v>46296</v>
      </c>
      <c r="B12" s="35" t="inlineStr">
        <is>
          <t>DRV_12</t>
        </is>
      </c>
      <c r="C12" s="35" t="inlineStr">
        <is>
          <t>Pangkalan Jati Baru</t>
        </is>
      </c>
      <c r="D12" s="35" t="inlineStr">
        <is>
          <t>Mitra LM 2W</t>
        </is>
      </c>
      <c r="E12" s="35" t="n">
        <v>146</v>
      </c>
      <c r="F12" s="35" t="n">
        <v>146</v>
      </c>
      <c r="G12" s="35" t="n">
        <v>0</v>
      </c>
      <c r="H12" s="35" t="n">
        <v>0</v>
      </c>
      <c r="I12" s="35" t="n">
        <f>E12-SUM(F12:H12)</f>
        <v>0</v>
      </c>
      <c r="J12" s="36" t="n">
        <f>IFERROR(F12/E12,0)</f>
        <v>1</v>
      </c>
    </row>
    <row r="13">
      <c r="A13" s="34" t="n">
        <v>46296</v>
      </c>
      <c r="B13" s="35" t="inlineStr">
        <is>
          <t>DRV_13</t>
        </is>
      </c>
      <c r="C13" s="35" t="inlineStr">
        <is>
          <t>CINERE</t>
        </is>
      </c>
      <c r="D13" s="35" t="inlineStr">
        <is>
          <t>Mitra LM 2W</t>
        </is>
      </c>
      <c r="E13" s="35" t="n">
        <v>99</v>
      </c>
      <c r="F13" s="35" t="n">
        <v>99</v>
      </c>
      <c r="G13" s="35" t="n">
        <v>0</v>
      </c>
      <c r="H13" s="35" t="n">
        <v>0</v>
      </c>
      <c r="I13" s="35" t="n">
        <f>E13-SUM(F13:H13)</f>
        <v>0</v>
      </c>
      <c r="J13" s="36" t="n">
        <f>IFERROR(F13/E13,0)</f>
        <v>1</v>
      </c>
    </row>
    <row r="14">
      <c r="A14" s="34" t="n">
        <v>46296</v>
      </c>
      <c r="B14" s="35" t="inlineStr">
        <is>
          <t>DRV_14</t>
        </is>
      </c>
      <c r="C14" s="35" t="inlineStr">
        <is>
          <t>CINERE</t>
        </is>
      </c>
      <c r="D14" s="35" t="inlineStr">
        <is>
          <t>Dedicated LM 2W</t>
        </is>
      </c>
      <c r="E14" s="35" t="n">
        <v>140</v>
      </c>
      <c r="F14" s="35" t="n">
        <v>140</v>
      </c>
      <c r="G14" s="35" t="n">
        <v>0</v>
      </c>
      <c r="H14" s="35" t="n">
        <v>0</v>
      </c>
      <c r="I14" s="35" t="n">
        <f>E14-SUM(F14:H14)</f>
        <v>0</v>
      </c>
      <c r="J14" s="36" t="n">
        <f>IFERROR(F14/E14,0)</f>
        <v>1</v>
      </c>
    </row>
    <row r="15">
      <c r="A15" s="34" t="n">
        <v>46296</v>
      </c>
      <c r="B15" s="35" t="inlineStr">
        <is>
          <t>DRV_15</t>
        </is>
      </c>
      <c r="C15" s="35" t="inlineStr">
        <is>
          <t>Krukut</t>
        </is>
      </c>
      <c r="D15" s="35" t="inlineStr">
        <is>
          <t>Mitra LM 2W</t>
        </is>
      </c>
      <c r="E15" s="35" t="n">
        <v>100</v>
      </c>
      <c r="F15" s="35" t="n">
        <v>100</v>
      </c>
      <c r="G15" s="35" t="n">
        <v>0</v>
      </c>
      <c r="H15" s="35" t="n">
        <v>0</v>
      </c>
      <c r="I15" s="35" t="n">
        <f>E15-SUM(F15:H15)</f>
        <v>0</v>
      </c>
      <c r="J15" s="36" t="n">
        <f>IFERROR(F15/E15,0)</f>
        <v>1</v>
      </c>
    </row>
    <row r="16">
      <c r="A16" s="34" t="n">
        <v>46296</v>
      </c>
      <c r="B16" s="35" t="inlineStr">
        <is>
          <t>DRV_16</t>
        </is>
      </c>
      <c r="C16" s="35" t="inlineStr">
        <is>
          <t>Meruyung</t>
        </is>
      </c>
      <c r="D16" s="35" t="inlineStr">
        <is>
          <t>Mitra LM 2W</t>
        </is>
      </c>
      <c r="E16" s="35" t="n">
        <v>80</v>
      </c>
      <c r="F16" s="35" t="n">
        <v>80</v>
      </c>
      <c r="G16" s="35" t="n">
        <v>0</v>
      </c>
      <c r="H16" s="35" t="n">
        <v>0</v>
      </c>
      <c r="I16" s="35" t="n">
        <f>E16-SUM(F16:H16)</f>
        <v>0</v>
      </c>
      <c r="J16" s="36" t="n">
        <f>IFERROR(F16/E16,0)</f>
        <v>1</v>
      </c>
    </row>
    <row r="17">
      <c r="A17" s="34" t="n">
        <v>46296</v>
      </c>
      <c r="B17" s="35" t="inlineStr">
        <is>
          <t>DRV_17</t>
        </is>
      </c>
      <c r="C17" s="35" t="inlineStr">
        <is>
          <t>Krukut</t>
        </is>
      </c>
      <c r="D17" s="35" t="inlineStr">
        <is>
          <t>Dedicated LM 2W</t>
        </is>
      </c>
      <c r="E17" s="35" t="n">
        <v>136</v>
      </c>
      <c r="F17" s="35" t="n">
        <v>136</v>
      </c>
      <c r="G17" s="35" t="n">
        <v>0</v>
      </c>
      <c r="H17" s="35" t="n">
        <v>0</v>
      </c>
      <c r="I17" s="35" t="n">
        <f>E17-SUM(F17:H17)</f>
        <v>0</v>
      </c>
      <c r="J17" s="36" t="n">
        <f>IFERROR(F17/E17,0)</f>
        <v>1</v>
      </c>
    </row>
    <row r="18">
      <c r="A18" s="34" t="n">
        <v>46296</v>
      </c>
      <c r="B18" s="35" t="inlineStr">
        <is>
          <t>DRV_18</t>
        </is>
      </c>
      <c r="C18" s="35" t="inlineStr">
        <is>
          <t>Meruyung</t>
        </is>
      </c>
      <c r="D18" s="35" t="inlineStr">
        <is>
          <t>Mitra LM 2W</t>
        </is>
      </c>
      <c r="E18" s="35" t="n">
        <v>119</v>
      </c>
      <c r="F18" s="35" t="n">
        <v>119</v>
      </c>
      <c r="G18" s="35" t="n">
        <v>0</v>
      </c>
      <c r="H18" s="35" t="n">
        <v>0</v>
      </c>
      <c r="I18" s="35" t="n">
        <f>E18-SUM(F18:H18)</f>
        <v>0</v>
      </c>
      <c r="J18" s="36" t="n">
        <f>IFERROR(F18/E18,0)</f>
        <v>1</v>
      </c>
    </row>
    <row r="19">
      <c r="A19" s="34" t="n">
        <v>46296</v>
      </c>
      <c r="B19" s="35" t="inlineStr">
        <is>
          <t>DRV_19</t>
        </is>
      </c>
      <c r="C19" s="35" t="inlineStr">
        <is>
          <t>Meruyung</t>
        </is>
      </c>
      <c r="D19" s="35" t="inlineStr">
        <is>
          <t>Mitra LM 2W</t>
        </is>
      </c>
      <c r="E19" s="35" t="n">
        <v>45</v>
      </c>
      <c r="F19" s="35" t="n">
        <v>45</v>
      </c>
      <c r="G19" s="35" t="n">
        <v>0</v>
      </c>
      <c r="H19" s="35" t="n">
        <v>0</v>
      </c>
      <c r="I19" s="35" t="n">
        <f>E19-SUM(F19:H19)</f>
        <v>0</v>
      </c>
      <c r="J19" s="36" t="n">
        <f>IFERROR(F19/E19,0)</f>
        <v>1</v>
      </c>
    </row>
    <row r="20">
      <c r="A20" s="34" t="n">
        <v>46296</v>
      </c>
      <c r="B20" s="35" t="inlineStr">
        <is>
          <t>DRV_20</t>
        </is>
      </c>
      <c r="C20" s="35" t="inlineStr">
        <is>
          <t>Krukut</t>
        </is>
      </c>
      <c r="D20" s="35" t="inlineStr">
        <is>
          <t>Mitra LM 2W</t>
        </is>
      </c>
      <c r="E20" s="35" t="n">
        <v>72</v>
      </c>
      <c r="F20" s="35" t="n">
        <v>72</v>
      </c>
      <c r="G20" s="35" t="n">
        <v>0</v>
      </c>
      <c r="H20" s="35" t="n">
        <v>0</v>
      </c>
      <c r="I20" s="35" t="n">
        <f>E20-SUM(F20:H20)</f>
        <v>0</v>
      </c>
      <c r="J20" s="36" t="n">
        <f>IFERROR(F20/E20,0)</f>
        <v>1</v>
      </c>
    </row>
    <row r="21">
      <c r="A21" s="34" t="n">
        <v>46296</v>
      </c>
      <c r="B21" s="35" t="inlineStr">
        <is>
          <t>DRV_22</t>
        </is>
      </c>
      <c r="C21" s="35" t="inlineStr">
        <is>
          <t>Limo</t>
        </is>
      </c>
      <c r="D21" s="35" t="inlineStr">
        <is>
          <t>Mitra LM 2W</t>
        </is>
      </c>
      <c r="E21" s="35" t="n">
        <v>102</v>
      </c>
      <c r="F21" s="35" t="n">
        <v>102</v>
      </c>
      <c r="G21" s="35" t="n">
        <v>0</v>
      </c>
      <c r="H21" s="35" t="n">
        <v>0</v>
      </c>
      <c r="I21" s="35" t="n">
        <f>E21-SUM(F21:H21)</f>
        <v>0</v>
      </c>
      <c r="J21" s="36" t="n">
        <f>IFERROR(F21/E21,0)</f>
        <v>1</v>
      </c>
    </row>
    <row r="22">
      <c r="A22" s="34" t="n">
        <v>46296</v>
      </c>
      <c r="B22" s="35" t="inlineStr">
        <is>
          <t>DRV_24</t>
        </is>
      </c>
      <c r="C22" s="35" t="inlineStr">
        <is>
          <t>GANDUL</t>
        </is>
      </c>
      <c r="D22" s="35" t="inlineStr">
        <is>
          <t>Mitra LM 2W</t>
        </is>
      </c>
      <c r="E22" s="35" t="n">
        <v>92</v>
      </c>
      <c r="F22" s="35" t="n">
        <v>92</v>
      </c>
      <c r="G22" s="35" t="n">
        <v>0</v>
      </c>
      <c r="H22" s="35" t="n">
        <v>0</v>
      </c>
      <c r="I22" s="35" t="n">
        <f>E22-SUM(F22:H22)</f>
        <v>0</v>
      </c>
      <c r="J22" s="36" t="n">
        <f>IFERROR(F22/E22,0)</f>
        <v>1</v>
      </c>
    </row>
    <row r="23">
      <c r="A23" s="34" t="n">
        <v>46296</v>
      </c>
      <c r="B23" s="35" t="inlineStr">
        <is>
          <t>DRV_26</t>
        </is>
      </c>
      <c r="C23" s="35" t="inlineStr">
        <is>
          <t>Pangkalan Jati Baru</t>
        </is>
      </c>
      <c r="D23" s="35" t="inlineStr">
        <is>
          <t>Mitra LM 2W</t>
        </is>
      </c>
      <c r="E23" s="35" t="n">
        <v>75</v>
      </c>
      <c r="F23" s="35" t="n">
        <v>75</v>
      </c>
      <c r="G23" s="35" t="n">
        <v>0</v>
      </c>
      <c r="H23" s="35" t="n">
        <v>0</v>
      </c>
      <c r="I23" s="35" t="n">
        <f>E23-SUM(F23:H23)</f>
        <v>0</v>
      </c>
      <c r="J23" s="36" t="n">
        <f>IFERROR(F23/E23,0)</f>
        <v>1</v>
      </c>
    </row>
    <row r="24">
      <c r="A24" s="34" t="n">
        <v>46296</v>
      </c>
      <c r="B24" s="35" t="inlineStr">
        <is>
          <t>DRV_27</t>
        </is>
      </c>
      <c r="C24" s="35" t="inlineStr">
        <is>
          <t>Grogol</t>
        </is>
      </c>
      <c r="D24" s="35" t="inlineStr">
        <is>
          <t>Mitra LM 2W</t>
        </is>
      </c>
      <c r="E24" s="35" t="n">
        <v>127</v>
      </c>
      <c r="F24" s="35" t="n">
        <v>127</v>
      </c>
      <c r="G24" s="35" t="n">
        <v>0</v>
      </c>
      <c r="H24" s="35" t="n">
        <v>0</v>
      </c>
      <c r="I24" s="35" t="n">
        <f>E24-SUM(F24:H24)</f>
        <v>0</v>
      </c>
      <c r="J24" s="36" t="n">
        <f>IFERROR(F24/E24,0)</f>
        <v>1</v>
      </c>
    </row>
    <row r="25">
      <c r="A25" s="34" t="n">
        <v>46296</v>
      </c>
      <c r="B25" s="35" t="inlineStr">
        <is>
          <t>DRV_28</t>
        </is>
      </c>
      <c r="C25" s="35" t="inlineStr">
        <is>
          <t>Pangkalan Jati Lama</t>
        </is>
      </c>
      <c r="D25" s="35" t="inlineStr">
        <is>
          <t>Mitra LM 2W</t>
        </is>
      </c>
      <c r="E25" s="35" t="n">
        <v>106</v>
      </c>
      <c r="F25" s="35" t="n">
        <v>106</v>
      </c>
      <c r="G25" s="35" t="n">
        <v>0</v>
      </c>
      <c r="H25" s="35" t="n">
        <v>0</v>
      </c>
      <c r="I25" s="35" t="n">
        <f>E25-SUM(F25:H25)</f>
        <v>0</v>
      </c>
      <c r="J25" s="36" t="n">
        <f>IFERROR(F25/E25,0)</f>
        <v>1</v>
      </c>
    </row>
    <row r="26">
      <c r="A26" s="34" t="n">
        <v>46296</v>
      </c>
      <c r="B26" s="35" t="inlineStr">
        <is>
          <t>DRV_30</t>
        </is>
      </c>
      <c r="C26" s="35" t="inlineStr">
        <is>
          <t>Meruyung</t>
        </is>
      </c>
      <c r="D26" s="35" t="inlineStr">
        <is>
          <t>Mitra LM 2W</t>
        </is>
      </c>
      <c r="E26" s="35" t="n">
        <v>123</v>
      </c>
      <c r="F26" s="35" t="n">
        <v>123</v>
      </c>
      <c r="G26" s="35" t="n">
        <v>0</v>
      </c>
      <c r="H26" s="35" t="n">
        <v>0</v>
      </c>
      <c r="I26" s="35" t="n">
        <f>E26-SUM(F26:H26)</f>
        <v>0</v>
      </c>
      <c r="J26" s="36" t="n">
        <f>IFERROR(F26/E26,0)</f>
        <v>1</v>
      </c>
    </row>
    <row r="27">
      <c r="A27" s="34" t="n">
        <v>46296</v>
      </c>
      <c r="B27" s="35" t="inlineStr">
        <is>
          <t>DRV_31</t>
        </is>
      </c>
      <c r="C27" s="35" t="inlineStr">
        <is>
          <t>Krukut</t>
        </is>
      </c>
      <c r="D27" s="35" t="inlineStr">
        <is>
          <t>Mitra LM 2W</t>
        </is>
      </c>
      <c r="E27" s="35" t="n">
        <v>70</v>
      </c>
      <c r="F27" s="35" t="n">
        <v>70</v>
      </c>
      <c r="G27" s="35" t="n">
        <v>0</v>
      </c>
      <c r="H27" s="35" t="n">
        <v>0</v>
      </c>
      <c r="I27" s="35" t="n">
        <f>E27-SUM(F27:H27)</f>
        <v>0</v>
      </c>
      <c r="J27" s="36" t="n">
        <f>IFERROR(F27/E27,0)</f>
        <v>1</v>
      </c>
    </row>
    <row r="28">
      <c r="A28" s="34" t="n">
        <v>46296</v>
      </c>
      <c r="B28" s="35" t="inlineStr">
        <is>
          <t>DRV_32</t>
        </is>
      </c>
      <c r="C28" s="35" t="inlineStr">
        <is>
          <t>CINERE</t>
        </is>
      </c>
      <c r="D28" s="35" t="inlineStr">
        <is>
          <t>Mitra LM 2W</t>
        </is>
      </c>
      <c r="E28" s="35" t="n">
        <v>94</v>
      </c>
      <c r="F28" s="35" t="n">
        <v>94</v>
      </c>
      <c r="G28" s="35" t="n">
        <v>0</v>
      </c>
      <c r="H28" s="35" t="n">
        <v>0</v>
      </c>
      <c r="I28" s="35" t="n">
        <f>E28-SUM(F28:H28)</f>
        <v>0</v>
      </c>
      <c r="J28" s="36" t="n">
        <f>IFERROR(F28/E28,0)</f>
        <v>1</v>
      </c>
    </row>
    <row r="29">
      <c r="A29" s="34" t="n">
        <v>46296</v>
      </c>
      <c r="B29" s="35" t="inlineStr">
        <is>
          <t>DRV_33</t>
        </is>
      </c>
      <c r="C29" s="35" t="inlineStr">
        <is>
          <t>CINERE</t>
        </is>
      </c>
      <c r="D29" s="35" t="inlineStr">
        <is>
          <t>Dedicated LM 2W</t>
        </is>
      </c>
      <c r="E29" s="35" t="n">
        <v>120</v>
      </c>
      <c r="F29" s="35" t="n">
        <v>120</v>
      </c>
      <c r="G29" s="35" t="n">
        <v>0</v>
      </c>
      <c r="H29" s="35" t="n">
        <v>0</v>
      </c>
      <c r="I29" s="35" t="n">
        <f>E29-SUM(F29:H29)</f>
        <v>0</v>
      </c>
      <c r="J29" s="36" t="n">
        <f>IFERROR(F29/E29,0)</f>
        <v>1</v>
      </c>
    </row>
    <row r="30">
      <c r="A30" s="34" t="n">
        <v>46296</v>
      </c>
      <c r="B30" s="35" t="inlineStr">
        <is>
          <t>DRV_34</t>
        </is>
      </c>
      <c r="C30" s="35" t="inlineStr">
        <is>
          <t>Limo</t>
        </is>
      </c>
      <c r="D30" s="35" t="inlineStr">
        <is>
          <t>Mitra LM 2W</t>
        </is>
      </c>
      <c r="E30" s="35" t="n">
        <v>118</v>
      </c>
      <c r="F30" s="35" t="n">
        <v>118</v>
      </c>
      <c r="G30" s="35" t="n">
        <v>0</v>
      </c>
      <c r="H30" s="35" t="n">
        <v>0</v>
      </c>
      <c r="I30" s="35" t="n">
        <f>E30-SUM(F30:H30)</f>
        <v>0</v>
      </c>
      <c r="J30" s="36" t="n">
        <f>IFERROR(F30/E30,0)</f>
        <v>1</v>
      </c>
    </row>
    <row r="31">
      <c r="A31" s="34" t="n">
        <v>46296</v>
      </c>
      <c r="B31" s="35" t="inlineStr">
        <is>
          <t>DRV_35</t>
        </is>
      </c>
      <c r="C31" s="35" t="inlineStr">
        <is>
          <t>CINERE</t>
        </is>
      </c>
      <c r="D31" s="35" t="inlineStr">
        <is>
          <t>Dedicated LM 2W</t>
        </is>
      </c>
      <c r="E31" s="35" t="n">
        <v>131</v>
      </c>
      <c r="F31" s="35" t="n">
        <v>131</v>
      </c>
      <c r="G31" s="35" t="n">
        <v>0</v>
      </c>
      <c r="H31" s="35" t="n">
        <v>0</v>
      </c>
      <c r="I31" s="35" t="n">
        <f>E31-SUM(F31:H31)</f>
        <v>0</v>
      </c>
      <c r="J31" s="36" t="n">
        <f>IFERROR(F31/E31,0)</f>
        <v>1</v>
      </c>
    </row>
    <row r="32">
      <c r="A32" s="34" t="n">
        <v>46296</v>
      </c>
      <c r="B32" s="35" t="inlineStr">
        <is>
          <t>DRV_36</t>
        </is>
      </c>
      <c r="C32" s="35" t="inlineStr">
        <is>
          <t>CINERE</t>
        </is>
      </c>
      <c r="D32" s="35" t="inlineStr">
        <is>
          <t>Mitra LM 2W</t>
        </is>
      </c>
      <c r="E32" s="35" t="n">
        <v>88</v>
      </c>
      <c r="F32" s="35" t="n">
        <v>88</v>
      </c>
      <c r="G32" s="35" t="n">
        <v>0</v>
      </c>
      <c r="H32" s="35" t="n">
        <v>0</v>
      </c>
      <c r="I32" s="35" t="n">
        <f>E32-SUM(F32:H32)</f>
        <v>0</v>
      </c>
      <c r="J32" s="36" t="n">
        <f>IFERROR(F32/E32,0)</f>
        <v>1</v>
      </c>
    </row>
    <row r="33">
      <c r="A33" s="34" t="n">
        <v>46296</v>
      </c>
      <c r="B33" s="35" t="inlineStr">
        <is>
          <t>DRV_37</t>
        </is>
      </c>
      <c r="C33" s="35" t="inlineStr">
        <is>
          <t>Grogol</t>
        </is>
      </c>
      <c r="D33" s="35" t="inlineStr">
        <is>
          <t>Mitra LM 2W</t>
        </is>
      </c>
      <c r="E33" s="35" t="n">
        <v>115</v>
      </c>
      <c r="F33" s="35" t="n">
        <v>115</v>
      </c>
      <c r="G33" s="35" t="n">
        <v>0</v>
      </c>
      <c r="H33" s="35" t="n">
        <v>0</v>
      </c>
      <c r="I33" s="35" t="n">
        <f>E33-SUM(F33:H33)</f>
        <v>0</v>
      </c>
      <c r="J33" s="36" t="n">
        <f>IFERROR(F33/E33,0)</f>
        <v>1</v>
      </c>
    </row>
    <row r="34">
      <c r="A34" s="34" t="n">
        <v>46296</v>
      </c>
      <c r="B34" s="35" t="inlineStr">
        <is>
          <t>DRV_38</t>
        </is>
      </c>
      <c r="C34" s="35" t="inlineStr">
        <is>
          <t>Grogol</t>
        </is>
      </c>
      <c r="D34" s="35" t="inlineStr">
        <is>
          <t>Mitra LM 2W</t>
        </is>
      </c>
      <c r="E34" s="35" t="n">
        <v>121</v>
      </c>
      <c r="F34" s="35" t="n">
        <v>121</v>
      </c>
      <c r="G34" s="35" t="n">
        <v>0</v>
      </c>
      <c r="H34" s="35" t="n">
        <v>0</v>
      </c>
      <c r="I34" s="35" t="n">
        <f>E34-SUM(F34:H34)</f>
        <v>0</v>
      </c>
      <c r="J34" s="36" t="n">
        <f>IFERROR(F34/E34,0)</f>
        <v>1</v>
      </c>
    </row>
    <row r="35">
      <c r="A35" s="34" t="n">
        <v>46296</v>
      </c>
      <c r="B35" s="35" t="inlineStr">
        <is>
          <t>DRV_39</t>
        </is>
      </c>
      <c r="C35" s="35" t="inlineStr">
        <is>
          <t>Pangkalan Jati Lama</t>
        </is>
      </c>
      <c r="D35" s="35" t="inlineStr">
        <is>
          <t>Dedicated LM 2W</t>
        </is>
      </c>
      <c r="E35" s="35" t="n">
        <v>129</v>
      </c>
      <c r="F35" s="35" t="n">
        <v>129</v>
      </c>
      <c r="G35" s="35" t="n">
        <v>0</v>
      </c>
      <c r="H35" s="35" t="n">
        <v>0</v>
      </c>
      <c r="I35" s="35" t="n">
        <f>E35-SUM(F35:H35)</f>
        <v>0</v>
      </c>
      <c r="J35" s="36" t="n">
        <f>IFERROR(F35/E35,0)</f>
        <v>1</v>
      </c>
    </row>
    <row r="36">
      <c r="A36" s="34" t="n">
        <v>46296</v>
      </c>
      <c r="B36" s="35" t="inlineStr">
        <is>
          <t>DRV_42</t>
        </is>
      </c>
      <c r="C36" s="35" t="inlineStr">
        <is>
          <t>Grogol</t>
        </is>
      </c>
      <c r="D36" s="35" t="inlineStr">
        <is>
          <t>Mitra LM 2W</t>
        </is>
      </c>
      <c r="E36" s="35" t="n">
        <v>88</v>
      </c>
      <c r="F36" s="35" t="n">
        <v>88</v>
      </c>
      <c r="G36" s="35" t="n">
        <v>0</v>
      </c>
      <c r="H36" s="35" t="n">
        <v>0</v>
      </c>
      <c r="I36" s="35" t="n">
        <f>E36-SUM(F36:H36)</f>
        <v>0</v>
      </c>
      <c r="J36" s="36" t="n">
        <f>IFERROR(F36/E36,0)</f>
        <v>1</v>
      </c>
    </row>
    <row r="37">
      <c r="A37" s="34" t="n">
        <v>46296</v>
      </c>
      <c r="B37" s="35" t="inlineStr">
        <is>
          <t>DRV_43</t>
        </is>
      </c>
      <c r="C37" s="35" t="inlineStr">
        <is>
          <t>Meruyung</t>
        </is>
      </c>
      <c r="D37" s="35" t="inlineStr">
        <is>
          <t>Mitra LM 2W</t>
        </is>
      </c>
      <c r="E37" s="35" t="n">
        <v>110</v>
      </c>
      <c r="F37" s="35" t="n">
        <v>110</v>
      </c>
      <c r="G37" s="35" t="n">
        <v>0</v>
      </c>
      <c r="H37" s="35" t="n">
        <v>0</v>
      </c>
      <c r="I37" s="35" t="n">
        <f>E37-SUM(F37:H37)</f>
        <v>0</v>
      </c>
      <c r="J37" s="36" t="n">
        <f>IFERROR(F37/E37,0)</f>
        <v>1</v>
      </c>
    </row>
    <row r="38">
      <c r="A38" s="34" t="n">
        <v>46296</v>
      </c>
      <c r="B38" s="35" t="inlineStr">
        <is>
          <t>DRV_44</t>
        </is>
      </c>
      <c r="C38" s="35" t="inlineStr">
        <is>
          <t>Pangkalan Jati Lama</t>
        </is>
      </c>
      <c r="D38" s="35" t="inlineStr">
        <is>
          <t>Dedicated LM 2W</t>
        </is>
      </c>
      <c r="E38" s="35" t="n">
        <v>138</v>
      </c>
      <c r="F38" s="35" t="n">
        <v>138</v>
      </c>
      <c r="G38" s="35" t="n">
        <v>0</v>
      </c>
      <c r="H38" s="35" t="n">
        <v>0</v>
      </c>
      <c r="I38" s="35" t="n">
        <f>E38-SUM(F38:H38)</f>
        <v>0</v>
      </c>
      <c r="J38" s="36" t="n">
        <f>IFERROR(F38/E38,0)</f>
        <v>1</v>
      </c>
    </row>
    <row r="39">
      <c r="A39" s="34" t="n">
        <v>46296</v>
      </c>
      <c r="B39" s="35" t="inlineStr">
        <is>
          <t>DRV_45</t>
        </is>
      </c>
      <c r="C39" s="35" t="inlineStr">
        <is>
          <t>Krukut</t>
        </is>
      </c>
      <c r="D39" s="35" t="inlineStr">
        <is>
          <t>Mitra LM 2W</t>
        </is>
      </c>
      <c r="E39" s="35" t="n">
        <v>79</v>
      </c>
      <c r="F39" s="35" t="n">
        <v>79</v>
      </c>
      <c r="G39" s="35" t="n">
        <v>0</v>
      </c>
      <c r="H39" s="35" t="n">
        <v>0</v>
      </c>
      <c r="I39" s="35" t="n">
        <f>E39-SUM(F39:H39)</f>
        <v>0</v>
      </c>
      <c r="J39" s="36" t="n">
        <f>IFERROR(F39/E39,0)</f>
        <v>1</v>
      </c>
    </row>
    <row r="40">
      <c r="A40" s="34" t="n">
        <v>46296</v>
      </c>
      <c r="B40" s="35" t="inlineStr">
        <is>
          <t>DRV_46</t>
        </is>
      </c>
      <c r="C40" s="35" t="inlineStr">
        <is>
          <t>Pangkalan Jati Lama</t>
        </is>
      </c>
      <c r="D40" s="35" t="inlineStr">
        <is>
          <t>Mitra LM 2W</t>
        </is>
      </c>
      <c r="E40" s="35" t="n">
        <v>24</v>
      </c>
      <c r="F40" s="35" t="n">
        <v>24</v>
      </c>
      <c r="G40" s="35" t="n">
        <v>0</v>
      </c>
      <c r="H40" s="35" t="n">
        <v>0</v>
      </c>
      <c r="I40" s="35" t="n">
        <f>E40-SUM(F40:H40)</f>
        <v>0</v>
      </c>
      <c r="J40" s="36" t="n">
        <f>IFERROR(F40/E40,0)</f>
        <v>1</v>
      </c>
    </row>
    <row r="41">
      <c r="A41" s="34" t="n">
        <v>46296</v>
      </c>
      <c r="B41" s="35" t="inlineStr">
        <is>
          <t>DRV_47</t>
        </is>
      </c>
      <c r="C41" s="35" t="inlineStr">
        <is>
          <t>Limo</t>
        </is>
      </c>
      <c r="D41" s="35" t="inlineStr">
        <is>
          <t>Dedicated LM 2W</t>
        </is>
      </c>
      <c r="E41" s="35" t="n">
        <v>140</v>
      </c>
      <c r="F41" s="35" t="n">
        <v>140</v>
      </c>
      <c r="G41" s="35" t="n">
        <v>0</v>
      </c>
      <c r="H41" s="35" t="n">
        <v>0</v>
      </c>
      <c r="I41" s="35" t="n">
        <f>E41-SUM(F41:H41)</f>
        <v>0</v>
      </c>
      <c r="J41" s="36" t="n">
        <f>IFERROR(F41/E41,0)</f>
        <v>1</v>
      </c>
    </row>
    <row r="42">
      <c r="A42" s="34" t="n">
        <v>46296</v>
      </c>
      <c r="B42" s="35" t="inlineStr">
        <is>
          <t>DRV_48</t>
        </is>
      </c>
      <c r="C42" s="35" t="inlineStr">
        <is>
          <t>Pangkalan Jati Baru</t>
        </is>
      </c>
      <c r="D42" s="35" t="inlineStr">
        <is>
          <t>Mitra LM 2W</t>
        </is>
      </c>
      <c r="E42" s="35" t="n">
        <v>23</v>
      </c>
      <c r="F42" s="35" t="n">
        <v>23</v>
      </c>
      <c r="G42" s="35" t="n">
        <v>0</v>
      </c>
      <c r="H42" s="35" t="n">
        <v>0</v>
      </c>
      <c r="I42" s="35" t="n">
        <f>E42-SUM(F42:H42)</f>
        <v>0</v>
      </c>
      <c r="J42" s="36" t="n">
        <f>IFERROR(F42/E42,0)</f>
        <v>1</v>
      </c>
    </row>
    <row r="43">
      <c r="A43" s="34" t="n">
        <v>46296</v>
      </c>
      <c r="B43" s="35" t="inlineStr">
        <is>
          <t>DRV_50</t>
        </is>
      </c>
      <c r="C43" s="35" t="inlineStr">
        <is>
          <t>Pangkalan Jati Baru</t>
        </is>
      </c>
      <c r="D43" s="35" t="inlineStr">
        <is>
          <t>Dedicated LM 2W</t>
        </is>
      </c>
      <c r="E43" s="35" t="n">
        <v>139</v>
      </c>
      <c r="F43" s="35" t="n">
        <v>139</v>
      </c>
      <c r="G43" s="35" t="n">
        <v>0</v>
      </c>
      <c r="H43" s="35" t="n">
        <v>0</v>
      </c>
      <c r="I43" s="35" t="n">
        <f>E43-SUM(F43:H43)</f>
        <v>0</v>
      </c>
      <c r="J43" s="36" t="n">
        <f>IFERROR(F43/E43,0)</f>
        <v>1</v>
      </c>
    </row>
    <row r="44">
      <c r="A44" s="34" t="n">
        <v>46296</v>
      </c>
      <c r="B44" s="35" t="inlineStr">
        <is>
          <t>DRV_51</t>
        </is>
      </c>
      <c r="C44" s="35" t="inlineStr">
        <is>
          <t>GANDUL</t>
        </is>
      </c>
      <c r="D44" s="35" t="inlineStr">
        <is>
          <t>Mitra LM 2W</t>
        </is>
      </c>
      <c r="E44" s="35" t="n">
        <v>138</v>
      </c>
      <c r="F44" s="35" t="n">
        <v>138</v>
      </c>
      <c r="G44" s="35" t="n">
        <v>0</v>
      </c>
      <c r="H44" s="35" t="n">
        <v>0</v>
      </c>
      <c r="I44" s="35" t="n">
        <f>E44-SUM(F44:H44)</f>
        <v>0</v>
      </c>
      <c r="J44" s="36" t="n">
        <f>IFERROR(F44/E44,0)</f>
        <v>1</v>
      </c>
    </row>
    <row r="45">
      <c r="A45" s="34" t="n">
        <v>46296</v>
      </c>
      <c r="B45" s="35" t="inlineStr">
        <is>
          <t>DRV_52</t>
        </is>
      </c>
      <c r="C45" s="35" t="inlineStr">
        <is>
          <t>Grogol</t>
        </is>
      </c>
      <c r="D45" s="35" t="inlineStr">
        <is>
          <t>Dedicated LM 2W</t>
        </is>
      </c>
      <c r="E45" s="35" t="n">
        <v>130</v>
      </c>
      <c r="F45" s="35" t="n">
        <v>130</v>
      </c>
      <c r="G45" s="35" t="n">
        <v>0</v>
      </c>
      <c r="H45" s="35" t="n">
        <v>0</v>
      </c>
      <c r="I45" s="35" t="n">
        <f>E45-SUM(F45:H45)</f>
        <v>0</v>
      </c>
      <c r="J45" s="36" t="n">
        <f>IFERROR(F45/E45,0)</f>
        <v>1</v>
      </c>
    </row>
    <row r="46">
      <c r="A46" s="34" t="n">
        <v>46296</v>
      </c>
      <c r="B46" s="35" t="inlineStr">
        <is>
          <t>DRV_54</t>
        </is>
      </c>
      <c r="C46" s="35" t="inlineStr">
        <is>
          <t>GANDUL</t>
        </is>
      </c>
      <c r="D46" s="35" t="inlineStr">
        <is>
          <t>Dedicated LM 2W</t>
        </is>
      </c>
      <c r="E46" s="35" t="n">
        <v>133</v>
      </c>
      <c r="F46" s="35" t="n">
        <v>133</v>
      </c>
      <c r="G46" s="35" t="n">
        <v>0</v>
      </c>
      <c r="H46" s="35" t="n">
        <v>0</v>
      </c>
      <c r="I46" s="35" t="n">
        <f>E46-SUM(F46:H46)</f>
        <v>0</v>
      </c>
      <c r="J46" s="36" t="n">
        <f>IFERROR(F46/E46,0)</f>
        <v>1</v>
      </c>
    </row>
    <row r="47">
      <c r="A47" s="34" t="n">
        <v>46296</v>
      </c>
      <c r="B47" s="35" t="inlineStr">
        <is>
          <t>DRV_57</t>
        </is>
      </c>
      <c r="C47" s="35" t="inlineStr">
        <is>
          <t>Pangkalan Jati Lama</t>
        </is>
      </c>
      <c r="D47" s="35" t="inlineStr">
        <is>
          <t>Mitra LM 2W</t>
        </is>
      </c>
      <c r="E47" s="35" t="n">
        <v>21</v>
      </c>
      <c r="F47" s="35" t="n">
        <v>21</v>
      </c>
      <c r="G47" s="35" t="n">
        <v>0</v>
      </c>
      <c r="H47" s="35" t="n">
        <v>0</v>
      </c>
      <c r="I47" s="35" t="n">
        <f>E47-SUM(F47:H47)</f>
        <v>0</v>
      </c>
      <c r="J47" s="36" t="n">
        <f>IFERROR(F47/E47,0)</f>
        <v>1</v>
      </c>
    </row>
    <row r="48">
      <c r="A48" s="34" t="n">
        <v>46296</v>
      </c>
      <c r="B48" s="35" t="inlineStr">
        <is>
          <t>DRV_58</t>
        </is>
      </c>
      <c r="C48" s="35" t="inlineStr">
        <is>
          <t>Krukut</t>
        </is>
      </c>
      <c r="D48" s="35" t="inlineStr">
        <is>
          <t>Mitra LM 2W</t>
        </is>
      </c>
      <c r="E48" s="35" t="n">
        <v>98</v>
      </c>
      <c r="F48" s="35" t="n">
        <v>98</v>
      </c>
      <c r="G48" s="35" t="n">
        <v>0</v>
      </c>
      <c r="H48" s="35" t="n">
        <v>0</v>
      </c>
      <c r="I48" s="35" t="n">
        <f>E48-SUM(F48:H48)</f>
        <v>0</v>
      </c>
      <c r="J48" s="36" t="n">
        <f>IFERROR(F48/E48,0)</f>
        <v>1</v>
      </c>
    </row>
    <row r="49">
      <c r="A49" s="34" t="n">
        <v>46297</v>
      </c>
      <c r="B49" s="35" t="inlineStr">
        <is>
          <t>DRV_02</t>
        </is>
      </c>
      <c r="C49" s="35" t="inlineStr">
        <is>
          <t>Grogol</t>
        </is>
      </c>
      <c r="D49" s="35" t="inlineStr">
        <is>
          <t>Mitra LM 2W</t>
        </is>
      </c>
      <c r="E49" s="35" t="n">
        <v>93</v>
      </c>
      <c r="F49" s="35" t="n">
        <v>93</v>
      </c>
      <c r="G49" s="35" t="n">
        <v>0</v>
      </c>
      <c r="H49" s="35" t="n">
        <v>0</v>
      </c>
      <c r="I49" s="35" t="n">
        <f>E49-SUM(F49:H49)</f>
        <v>0</v>
      </c>
      <c r="J49" s="36" t="n">
        <f>IFERROR(F49/E49,0)</f>
        <v>1</v>
      </c>
    </row>
    <row r="50">
      <c r="A50" s="34" t="n">
        <v>46297</v>
      </c>
      <c r="B50" s="35" t="inlineStr">
        <is>
          <t>DRV_03</t>
        </is>
      </c>
      <c r="C50" s="35" t="inlineStr">
        <is>
          <t>GANDUL</t>
        </is>
      </c>
      <c r="D50" s="35" t="inlineStr">
        <is>
          <t>Mitra LM 2W</t>
        </is>
      </c>
      <c r="E50" s="35" t="n">
        <v>131</v>
      </c>
      <c r="F50" s="35" t="n">
        <v>131</v>
      </c>
      <c r="G50" s="35" t="n">
        <v>0</v>
      </c>
      <c r="H50" s="35" t="n">
        <v>0</v>
      </c>
      <c r="I50" s="35" t="n">
        <f>E50-SUM(F50:H50)</f>
        <v>0</v>
      </c>
      <c r="J50" s="36" t="n">
        <f>IFERROR(F50/E50,0)</f>
        <v>1</v>
      </c>
    </row>
    <row r="51">
      <c r="A51" s="34" t="n">
        <v>46297</v>
      </c>
      <c r="B51" s="35" t="inlineStr">
        <is>
          <t>DRV_05</t>
        </is>
      </c>
      <c r="C51" s="35" t="inlineStr">
        <is>
          <t>GANDUL</t>
        </is>
      </c>
      <c r="D51" s="35" t="inlineStr">
        <is>
          <t>Mitra LM 2W</t>
        </is>
      </c>
      <c r="E51" s="35" t="n">
        <v>100</v>
      </c>
      <c r="F51" s="35" t="n">
        <v>100</v>
      </c>
      <c r="G51" s="35" t="n">
        <v>0</v>
      </c>
      <c r="H51" s="35" t="n">
        <v>0</v>
      </c>
      <c r="I51" s="35" t="n">
        <f>E51-SUM(F51:H51)</f>
        <v>0</v>
      </c>
      <c r="J51" s="36" t="n">
        <f>IFERROR(F51/E51,0)</f>
        <v>1</v>
      </c>
    </row>
    <row r="52">
      <c r="A52" s="34" t="n">
        <v>46297</v>
      </c>
      <c r="B52" s="35" t="inlineStr">
        <is>
          <t>DRV_07</t>
        </is>
      </c>
      <c r="C52" s="35" t="inlineStr">
        <is>
          <t>CINERE</t>
        </is>
      </c>
      <c r="D52" s="35" t="inlineStr">
        <is>
          <t>Mitra LM 2W</t>
        </is>
      </c>
      <c r="E52" s="35" t="n">
        <v>49</v>
      </c>
      <c r="F52" s="35" t="n">
        <v>49</v>
      </c>
      <c r="G52" s="35" t="n">
        <v>0</v>
      </c>
      <c r="H52" s="35" t="n">
        <v>0</v>
      </c>
      <c r="I52" s="35" t="n">
        <f>E52-SUM(F52:H52)</f>
        <v>0</v>
      </c>
      <c r="J52" s="36" t="n">
        <f>IFERROR(F52/E52,0)</f>
        <v>1</v>
      </c>
    </row>
    <row r="53">
      <c r="A53" s="34" t="n">
        <v>46297</v>
      </c>
      <c r="B53" s="35" t="inlineStr">
        <is>
          <t>DRV_08</t>
        </is>
      </c>
      <c r="C53" s="35" t="inlineStr">
        <is>
          <t>CINERE</t>
        </is>
      </c>
      <c r="D53" s="35" t="inlineStr">
        <is>
          <t>Mitra LM 2W</t>
        </is>
      </c>
      <c r="E53" s="35" t="n">
        <v>83</v>
      </c>
      <c r="F53" s="35" t="n">
        <v>83</v>
      </c>
      <c r="G53" s="35" t="n">
        <v>0</v>
      </c>
      <c r="H53" s="35" t="n">
        <v>0</v>
      </c>
      <c r="I53" s="35" t="n">
        <f>E53-SUM(F53:H53)</f>
        <v>0</v>
      </c>
      <c r="J53" s="36" t="n">
        <f>IFERROR(F53/E53,0)</f>
        <v>1</v>
      </c>
    </row>
    <row r="54">
      <c r="A54" s="34" t="n">
        <v>46297</v>
      </c>
      <c r="B54" s="35" t="inlineStr">
        <is>
          <t>DRV_10</t>
        </is>
      </c>
      <c r="C54" s="35" t="inlineStr">
        <is>
          <t>Meruyung</t>
        </is>
      </c>
      <c r="D54" s="35" t="inlineStr">
        <is>
          <t>Mitra LM 2W</t>
        </is>
      </c>
      <c r="E54" s="35" t="n">
        <v>67</v>
      </c>
      <c r="F54" s="35" t="n">
        <v>67</v>
      </c>
      <c r="G54" s="35" t="n">
        <v>0</v>
      </c>
      <c r="H54" s="35" t="n">
        <v>0</v>
      </c>
      <c r="I54" s="35" t="n">
        <f>E54-SUM(F54:H54)</f>
        <v>0</v>
      </c>
      <c r="J54" s="36" t="n">
        <f>IFERROR(F54/E54,0)</f>
        <v>1</v>
      </c>
    </row>
    <row r="55">
      <c r="A55" s="34" t="n">
        <v>46297</v>
      </c>
      <c r="B55" s="35" t="inlineStr">
        <is>
          <t>DRV_11</t>
        </is>
      </c>
      <c r="C55" s="35" t="inlineStr">
        <is>
          <t>Grogol</t>
        </is>
      </c>
      <c r="D55" s="35" t="inlineStr">
        <is>
          <t>Mitra LM 2W</t>
        </is>
      </c>
      <c r="E55" s="35" t="n">
        <v>147</v>
      </c>
      <c r="F55" s="35" t="n">
        <v>147</v>
      </c>
      <c r="G55" s="35" t="n">
        <v>0</v>
      </c>
      <c r="H55" s="35" t="n">
        <v>0</v>
      </c>
      <c r="I55" s="35" t="n">
        <f>E55-SUM(F55:H55)</f>
        <v>0</v>
      </c>
      <c r="J55" s="36" t="n">
        <f>IFERROR(F55/E55,0)</f>
        <v>1</v>
      </c>
    </row>
    <row r="56">
      <c r="A56" s="34" t="n">
        <v>46297</v>
      </c>
      <c r="B56" s="35" t="inlineStr">
        <is>
          <t>DRV_13</t>
        </is>
      </c>
      <c r="C56" s="35" t="inlineStr">
        <is>
          <t>CINERE</t>
        </is>
      </c>
      <c r="D56" s="35" t="inlineStr">
        <is>
          <t>Mitra LM 2W</t>
        </is>
      </c>
      <c r="E56" s="35" t="n">
        <v>36</v>
      </c>
      <c r="F56" s="35" t="n">
        <v>36</v>
      </c>
      <c r="G56" s="35" t="n">
        <v>0</v>
      </c>
      <c r="H56" s="35" t="n">
        <v>0</v>
      </c>
      <c r="I56" s="35" t="n">
        <f>E56-SUM(F56:H56)</f>
        <v>0</v>
      </c>
      <c r="J56" s="36" t="n">
        <f>IFERROR(F56/E56,0)</f>
        <v>1</v>
      </c>
    </row>
    <row r="57">
      <c r="A57" s="34" t="n">
        <v>46297</v>
      </c>
      <c r="B57" s="35" t="inlineStr">
        <is>
          <t>DRV_14</t>
        </is>
      </c>
      <c r="C57" s="35" t="inlineStr">
        <is>
          <t>CINERE</t>
        </is>
      </c>
      <c r="D57" s="35" t="inlineStr">
        <is>
          <t>Dedicated LM 2W</t>
        </is>
      </c>
      <c r="E57" s="35" t="n">
        <v>140</v>
      </c>
      <c r="F57" s="35" t="n">
        <v>140</v>
      </c>
      <c r="G57" s="35" t="n">
        <v>0</v>
      </c>
      <c r="H57" s="35" t="n">
        <v>0</v>
      </c>
      <c r="I57" s="35" t="n">
        <f>E57-SUM(F57:H57)</f>
        <v>0</v>
      </c>
      <c r="J57" s="36" t="n">
        <f>IFERROR(F57/E57,0)</f>
        <v>1</v>
      </c>
    </row>
    <row r="58">
      <c r="A58" s="34" t="n">
        <v>46297</v>
      </c>
      <c r="B58" s="35" t="inlineStr">
        <is>
          <t>DRV_15</t>
        </is>
      </c>
      <c r="C58" s="35" t="inlineStr">
        <is>
          <t>Krukut</t>
        </is>
      </c>
      <c r="D58" s="35" t="inlineStr">
        <is>
          <t>Mitra LM 2W</t>
        </is>
      </c>
      <c r="E58" s="35" t="n">
        <v>131</v>
      </c>
      <c r="F58" s="35" t="n">
        <v>131</v>
      </c>
      <c r="G58" s="35" t="n">
        <v>0</v>
      </c>
      <c r="H58" s="35" t="n">
        <v>0</v>
      </c>
      <c r="I58" s="35" t="n">
        <f>E58-SUM(F58:H58)</f>
        <v>0</v>
      </c>
      <c r="J58" s="36" t="n">
        <f>IFERROR(F58/E58,0)</f>
        <v>1</v>
      </c>
    </row>
    <row r="59">
      <c r="A59" s="34" t="n">
        <v>46297</v>
      </c>
      <c r="B59" s="35" t="inlineStr">
        <is>
          <t>DRV_16</t>
        </is>
      </c>
      <c r="C59" s="35" t="inlineStr">
        <is>
          <t>Meruyung</t>
        </is>
      </c>
      <c r="D59" s="35" t="inlineStr">
        <is>
          <t>Mitra LM 2W</t>
        </is>
      </c>
      <c r="E59" s="35" t="n">
        <v>97</v>
      </c>
      <c r="F59" s="35" t="n">
        <v>97</v>
      </c>
      <c r="G59" s="35" t="n">
        <v>0</v>
      </c>
      <c r="H59" s="35" t="n">
        <v>0</v>
      </c>
      <c r="I59" s="35" t="n">
        <f>E59-SUM(F59:H59)</f>
        <v>0</v>
      </c>
      <c r="J59" s="36" t="n">
        <f>IFERROR(F59/E59,0)</f>
        <v>1</v>
      </c>
    </row>
    <row r="60">
      <c r="A60" s="34" t="n">
        <v>46297</v>
      </c>
      <c r="B60" s="35" t="inlineStr">
        <is>
          <t>DRV_17</t>
        </is>
      </c>
      <c r="C60" s="35" t="inlineStr">
        <is>
          <t>Krukut</t>
        </is>
      </c>
      <c r="D60" s="35" t="inlineStr">
        <is>
          <t>Dedicated LM 2W</t>
        </is>
      </c>
      <c r="E60" s="35" t="n">
        <v>182</v>
      </c>
      <c r="F60" s="35" t="n">
        <v>182</v>
      </c>
      <c r="G60" s="35" t="n">
        <v>0</v>
      </c>
      <c r="H60" s="35" t="n">
        <v>0</v>
      </c>
      <c r="I60" s="35" t="n">
        <f>E60-SUM(F60:H60)</f>
        <v>0</v>
      </c>
      <c r="J60" s="36" t="n">
        <f>IFERROR(F60/E60,0)</f>
        <v>1</v>
      </c>
    </row>
    <row r="61">
      <c r="A61" s="34" t="n">
        <v>46297</v>
      </c>
      <c r="B61" s="35" t="inlineStr">
        <is>
          <t>DRV_18</t>
        </is>
      </c>
      <c r="C61" s="35" t="inlineStr">
        <is>
          <t>Meruyung</t>
        </is>
      </c>
      <c r="D61" s="35" t="inlineStr">
        <is>
          <t>Mitra LM 2W</t>
        </is>
      </c>
      <c r="E61" s="35" t="n">
        <v>95</v>
      </c>
      <c r="F61" s="35" t="n">
        <v>95</v>
      </c>
      <c r="G61" s="35" t="n">
        <v>0</v>
      </c>
      <c r="H61" s="35" t="n">
        <v>0</v>
      </c>
      <c r="I61" s="35" t="n">
        <f>E61-SUM(F61:H61)</f>
        <v>0</v>
      </c>
      <c r="J61" s="36" t="n">
        <f>IFERROR(F61/E61,0)</f>
        <v>1</v>
      </c>
    </row>
    <row r="62">
      <c r="A62" s="34" t="n">
        <v>46297</v>
      </c>
      <c r="B62" s="35" t="inlineStr">
        <is>
          <t>DRV_19</t>
        </is>
      </c>
      <c r="C62" s="35" t="inlineStr">
        <is>
          <t>Meruyung</t>
        </is>
      </c>
      <c r="D62" s="35" t="inlineStr">
        <is>
          <t>Mitra LM 2W</t>
        </is>
      </c>
      <c r="E62" s="35" t="n">
        <v>78</v>
      </c>
      <c r="F62" s="35" t="n">
        <v>78</v>
      </c>
      <c r="G62" s="35" t="n">
        <v>0</v>
      </c>
      <c r="H62" s="35" t="n">
        <v>0</v>
      </c>
      <c r="I62" s="35" t="n">
        <f>E62-SUM(F62:H62)</f>
        <v>0</v>
      </c>
      <c r="J62" s="36" t="n">
        <f>IFERROR(F62/E62,0)</f>
        <v>1</v>
      </c>
    </row>
    <row r="63">
      <c r="A63" s="34" t="n">
        <v>46297</v>
      </c>
      <c r="B63" s="35" t="inlineStr">
        <is>
          <t>DRV_20</t>
        </is>
      </c>
      <c r="C63" s="35" t="inlineStr">
        <is>
          <t>Krukut</t>
        </is>
      </c>
      <c r="D63" s="35" t="inlineStr">
        <is>
          <t>Mitra LM 2W</t>
        </is>
      </c>
      <c r="E63" s="35" t="n">
        <v>38</v>
      </c>
      <c r="F63" s="35" t="n">
        <v>38</v>
      </c>
      <c r="G63" s="35" t="n">
        <v>0</v>
      </c>
      <c r="H63" s="35" t="n">
        <v>0</v>
      </c>
      <c r="I63" s="35" t="n">
        <f>E63-SUM(F63:H63)</f>
        <v>0</v>
      </c>
      <c r="J63" s="36" t="n">
        <f>IFERROR(F63/E63,0)</f>
        <v>1</v>
      </c>
    </row>
    <row r="64">
      <c r="A64" s="34" t="n">
        <v>46297</v>
      </c>
      <c r="B64" s="35" t="inlineStr">
        <is>
          <t>DRV_21</t>
        </is>
      </c>
      <c r="C64" s="35" t="inlineStr">
        <is>
          <t>Grogol</t>
        </is>
      </c>
      <c r="D64" s="35" t="inlineStr">
        <is>
          <t>Dedicated LM 2W</t>
        </is>
      </c>
      <c r="E64" s="35" t="n">
        <v>133</v>
      </c>
      <c r="F64" s="35" t="n">
        <v>133</v>
      </c>
      <c r="G64" s="35" t="n">
        <v>0</v>
      </c>
      <c r="H64" s="35" t="n">
        <v>0</v>
      </c>
      <c r="I64" s="35" t="n">
        <f>E64-SUM(F64:H64)</f>
        <v>0</v>
      </c>
      <c r="J64" s="36" t="n">
        <f>IFERROR(F64/E64,0)</f>
        <v>1</v>
      </c>
    </row>
    <row r="65">
      <c r="A65" s="34" t="n">
        <v>46297</v>
      </c>
      <c r="B65" s="35" t="inlineStr">
        <is>
          <t>DRV_22</t>
        </is>
      </c>
      <c r="C65" s="35" t="inlineStr">
        <is>
          <t>Limo</t>
        </is>
      </c>
      <c r="D65" s="35" t="inlineStr">
        <is>
          <t>Mitra LM 2W</t>
        </is>
      </c>
      <c r="E65" s="35" t="n">
        <v>88</v>
      </c>
      <c r="F65" s="35" t="n">
        <v>88</v>
      </c>
      <c r="G65" s="35" t="n">
        <v>0</v>
      </c>
      <c r="H65" s="35" t="n">
        <v>0</v>
      </c>
      <c r="I65" s="35" t="n">
        <f>E65-SUM(F65:H65)</f>
        <v>0</v>
      </c>
      <c r="J65" s="36" t="n">
        <f>IFERROR(F65/E65,0)</f>
        <v>1</v>
      </c>
    </row>
    <row r="66">
      <c r="A66" s="34" t="n">
        <v>46297</v>
      </c>
      <c r="B66" s="35" t="inlineStr">
        <is>
          <t>DRV_23</t>
        </is>
      </c>
      <c r="C66" s="35" t="inlineStr">
        <is>
          <t>Meruyung</t>
        </is>
      </c>
      <c r="D66" s="35" t="inlineStr">
        <is>
          <t>Mitra LM 2W</t>
        </is>
      </c>
      <c r="E66" s="35" t="n">
        <v>71</v>
      </c>
      <c r="F66" s="35" t="n">
        <v>71</v>
      </c>
      <c r="G66" s="35" t="n">
        <v>0</v>
      </c>
      <c r="H66" s="35" t="n">
        <v>0</v>
      </c>
      <c r="I66" s="35" t="n">
        <f>E66-SUM(F66:H66)</f>
        <v>0</v>
      </c>
      <c r="J66" s="36" t="n">
        <f>IFERROR(F66/E66,0)</f>
        <v>1</v>
      </c>
    </row>
    <row r="67">
      <c r="A67" s="34" t="n">
        <v>46297</v>
      </c>
      <c r="B67" s="35" t="inlineStr">
        <is>
          <t>DRV_24</t>
        </is>
      </c>
      <c r="C67" s="35" t="inlineStr">
        <is>
          <t>GANDUL</t>
        </is>
      </c>
      <c r="D67" s="35" t="inlineStr">
        <is>
          <t>Mitra LM 2W</t>
        </is>
      </c>
      <c r="E67" s="35" t="n">
        <v>154</v>
      </c>
      <c r="F67" s="35" t="n">
        <v>154</v>
      </c>
      <c r="G67" s="35" t="n">
        <v>0</v>
      </c>
      <c r="H67" s="35" t="n">
        <v>0</v>
      </c>
      <c r="I67" s="35" t="n">
        <f>E67-SUM(F67:H67)</f>
        <v>0</v>
      </c>
      <c r="J67" s="36" t="n">
        <f>IFERROR(F67/E67,0)</f>
        <v>1</v>
      </c>
    </row>
    <row r="68">
      <c r="A68" s="34" t="n">
        <v>46297</v>
      </c>
      <c r="B68" s="35" t="inlineStr">
        <is>
          <t>DRV_25</t>
        </is>
      </c>
      <c r="C68" s="35" t="inlineStr">
        <is>
          <t>CINERE</t>
        </is>
      </c>
      <c r="D68" s="35" t="inlineStr">
        <is>
          <t>Mitra LM 2W</t>
        </is>
      </c>
      <c r="E68" s="35" t="n">
        <v>94</v>
      </c>
      <c r="F68" s="35" t="n">
        <v>94</v>
      </c>
      <c r="G68" s="35" t="n">
        <v>0</v>
      </c>
      <c r="H68" s="35" t="n">
        <v>0</v>
      </c>
      <c r="I68" s="35" t="n">
        <f>E68-SUM(F68:H68)</f>
        <v>0</v>
      </c>
      <c r="J68" s="36" t="n">
        <f>IFERROR(F68/E68,0)</f>
        <v>1</v>
      </c>
    </row>
    <row r="69">
      <c r="A69" s="34" t="n">
        <v>46297</v>
      </c>
      <c r="B69" s="35" t="inlineStr">
        <is>
          <t>DRV_26</t>
        </is>
      </c>
      <c r="C69" s="35" t="inlineStr">
        <is>
          <t>Pangkalan Jati Baru</t>
        </is>
      </c>
      <c r="D69" s="35" t="inlineStr">
        <is>
          <t>Mitra LM 2W</t>
        </is>
      </c>
      <c r="E69" s="35" t="n">
        <v>114</v>
      </c>
      <c r="F69" s="35" t="n">
        <v>114</v>
      </c>
      <c r="G69" s="35" t="n">
        <v>0</v>
      </c>
      <c r="H69" s="35" t="n">
        <v>0</v>
      </c>
      <c r="I69" s="35" t="n">
        <f>E69-SUM(F69:H69)</f>
        <v>0</v>
      </c>
      <c r="J69" s="36" t="n">
        <f>IFERROR(F69/E69,0)</f>
        <v>1</v>
      </c>
    </row>
    <row r="70">
      <c r="A70" s="34" t="n">
        <v>46297</v>
      </c>
      <c r="B70" s="35" t="inlineStr">
        <is>
          <t>DRV_27</t>
        </is>
      </c>
      <c r="C70" s="35" t="inlineStr">
        <is>
          <t>Grogol</t>
        </is>
      </c>
      <c r="D70" s="35" t="inlineStr">
        <is>
          <t>Mitra LM 2W</t>
        </is>
      </c>
      <c r="E70" s="35" t="n">
        <v>101</v>
      </c>
      <c r="F70" s="35" t="n">
        <v>101</v>
      </c>
      <c r="G70" s="35" t="n">
        <v>0</v>
      </c>
      <c r="H70" s="35" t="n">
        <v>0</v>
      </c>
      <c r="I70" s="35" t="n">
        <f>E70-SUM(F70:H70)</f>
        <v>0</v>
      </c>
      <c r="J70" s="36" t="n">
        <f>IFERROR(F70/E70,0)</f>
        <v>1</v>
      </c>
    </row>
    <row r="71">
      <c r="A71" s="34" t="n">
        <v>46297</v>
      </c>
      <c r="B71" s="35" t="inlineStr">
        <is>
          <t>DRV_28</t>
        </is>
      </c>
      <c r="C71" s="35" t="inlineStr">
        <is>
          <t>Pangkalan Jati Lama</t>
        </is>
      </c>
      <c r="D71" s="35" t="inlineStr">
        <is>
          <t>Mitra LM 2W</t>
        </is>
      </c>
      <c r="E71" s="35" t="n">
        <v>115</v>
      </c>
      <c r="F71" s="35" t="n">
        <v>115</v>
      </c>
      <c r="G71" s="35" t="n">
        <v>0</v>
      </c>
      <c r="H71" s="35" t="n">
        <v>0</v>
      </c>
      <c r="I71" s="35" t="n">
        <f>E71-SUM(F71:H71)</f>
        <v>0</v>
      </c>
      <c r="J71" s="36" t="n">
        <f>IFERROR(F71/E71,0)</f>
        <v>1</v>
      </c>
    </row>
    <row r="72">
      <c r="A72" s="34" t="n">
        <v>46297</v>
      </c>
      <c r="B72" s="35" t="inlineStr">
        <is>
          <t>DRV_29</t>
        </is>
      </c>
      <c r="C72" s="35" t="inlineStr">
        <is>
          <t>CINERE</t>
        </is>
      </c>
      <c r="D72" s="35" t="inlineStr">
        <is>
          <t>Mitra LM 2W</t>
        </is>
      </c>
      <c r="E72" s="35" t="n">
        <v>64</v>
      </c>
      <c r="F72" s="35" t="n">
        <v>64</v>
      </c>
      <c r="G72" s="35" t="n">
        <v>0</v>
      </c>
      <c r="H72" s="35" t="n">
        <v>0</v>
      </c>
      <c r="I72" s="35" t="n">
        <f>E72-SUM(F72:H72)</f>
        <v>0</v>
      </c>
      <c r="J72" s="36" t="n">
        <f>IFERROR(F72/E72,0)</f>
        <v>1</v>
      </c>
    </row>
    <row r="73">
      <c r="A73" s="34" t="n">
        <v>46297</v>
      </c>
      <c r="B73" s="35" t="inlineStr">
        <is>
          <t>DRV_30</t>
        </is>
      </c>
      <c r="C73" s="35" t="inlineStr">
        <is>
          <t>Meruyung</t>
        </is>
      </c>
      <c r="D73" s="35" t="inlineStr">
        <is>
          <t>Mitra LM 2W</t>
        </is>
      </c>
      <c r="E73" s="35" t="n">
        <v>103</v>
      </c>
      <c r="F73" s="35" t="n">
        <v>103</v>
      </c>
      <c r="G73" s="35" t="n">
        <v>0</v>
      </c>
      <c r="H73" s="35" t="n">
        <v>0</v>
      </c>
      <c r="I73" s="35" t="n">
        <f>E73-SUM(F73:H73)</f>
        <v>0</v>
      </c>
      <c r="J73" s="36" t="n">
        <f>IFERROR(F73/E73,0)</f>
        <v>1</v>
      </c>
    </row>
    <row r="74">
      <c r="A74" s="34" t="n">
        <v>46297</v>
      </c>
      <c r="B74" s="35" t="inlineStr">
        <is>
          <t>DRV_31</t>
        </is>
      </c>
      <c r="C74" s="35" t="inlineStr">
        <is>
          <t>Krukut</t>
        </is>
      </c>
      <c r="D74" s="35" t="inlineStr">
        <is>
          <t>Mitra LM 2W</t>
        </is>
      </c>
      <c r="E74" s="35" t="n">
        <v>68</v>
      </c>
      <c r="F74" s="35" t="n">
        <v>68</v>
      </c>
      <c r="G74" s="35" t="n">
        <v>0</v>
      </c>
      <c r="H74" s="35" t="n">
        <v>0</v>
      </c>
      <c r="I74" s="35" t="n">
        <f>E74-SUM(F74:H74)</f>
        <v>0</v>
      </c>
      <c r="J74" s="36" t="n">
        <f>IFERROR(F74/E74,0)</f>
        <v>1</v>
      </c>
    </row>
    <row r="75">
      <c r="A75" s="34" t="n">
        <v>46297</v>
      </c>
      <c r="B75" s="35" t="inlineStr">
        <is>
          <t>DRV_33</t>
        </is>
      </c>
      <c r="C75" s="35" t="inlineStr">
        <is>
          <t>CINERE</t>
        </is>
      </c>
      <c r="D75" s="35" t="inlineStr">
        <is>
          <t>Dedicated LM 2W</t>
        </is>
      </c>
      <c r="E75" s="35" t="n">
        <v>149</v>
      </c>
      <c r="F75" s="35" t="n">
        <v>149</v>
      </c>
      <c r="G75" s="35" t="n">
        <v>0</v>
      </c>
      <c r="H75" s="35" t="n">
        <v>0</v>
      </c>
      <c r="I75" s="35" t="n">
        <f>E75-SUM(F75:H75)</f>
        <v>0</v>
      </c>
      <c r="J75" s="36" t="n">
        <f>IFERROR(F75/E75,0)</f>
        <v>1</v>
      </c>
    </row>
    <row r="76">
      <c r="A76" s="34" t="n">
        <v>46297</v>
      </c>
      <c r="B76" s="35" t="inlineStr">
        <is>
          <t>DRV_34</t>
        </is>
      </c>
      <c r="C76" s="35" t="inlineStr">
        <is>
          <t>Limo</t>
        </is>
      </c>
      <c r="D76" s="35" t="inlineStr">
        <is>
          <t>Mitra LM 2W</t>
        </is>
      </c>
      <c r="E76" s="35" t="n">
        <v>114</v>
      </c>
      <c r="F76" s="35" t="n">
        <v>114</v>
      </c>
      <c r="G76" s="35" t="n">
        <v>0</v>
      </c>
      <c r="H76" s="35" t="n">
        <v>0</v>
      </c>
      <c r="I76" s="35" t="n">
        <f>E76-SUM(F76:H76)</f>
        <v>0</v>
      </c>
      <c r="J76" s="36" t="n">
        <f>IFERROR(F76/E76,0)</f>
        <v>1</v>
      </c>
    </row>
    <row r="77">
      <c r="A77" s="34" t="n">
        <v>46297</v>
      </c>
      <c r="B77" s="35" t="inlineStr">
        <is>
          <t>DRV_35</t>
        </is>
      </c>
      <c r="C77" s="35" t="inlineStr">
        <is>
          <t>CINERE</t>
        </is>
      </c>
      <c r="D77" s="35" t="inlineStr">
        <is>
          <t>Dedicated LM 2W</t>
        </is>
      </c>
      <c r="E77" s="35" t="n">
        <v>132</v>
      </c>
      <c r="F77" s="35" t="n">
        <v>132</v>
      </c>
      <c r="G77" s="35" t="n">
        <v>0</v>
      </c>
      <c r="H77" s="35" t="n">
        <v>0</v>
      </c>
      <c r="I77" s="35" t="n">
        <f>E77-SUM(F77:H77)</f>
        <v>0</v>
      </c>
      <c r="J77" s="36" t="n">
        <f>IFERROR(F77/E77,0)</f>
        <v>1</v>
      </c>
    </row>
    <row r="78">
      <c r="A78" s="34" t="n">
        <v>46297</v>
      </c>
      <c r="B78" s="35" t="inlineStr">
        <is>
          <t>DRV_36</t>
        </is>
      </c>
      <c r="C78" s="35" t="inlineStr">
        <is>
          <t>CINERE</t>
        </is>
      </c>
      <c r="D78" s="35" t="inlineStr">
        <is>
          <t>Mitra LM 2W</t>
        </is>
      </c>
      <c r="E78" s="35" t="n">
        <v>103</v>
      </c>
      <c r="F78" s="35" t="n">
        <v>103</v>
      </c>
      <c r="G78" s="35" t="n">
        <v>0</v>
      </c>
      <c r="H78" s="35" t="n">
        <v>0</v>
      </c>
      <c r="I78" s="35" t="n">
        <f>E78-SUM(F78:H78)</f>
        <v>0</v>
      </c>
      <c r="J78" s="36" t="n">
        <f>IFERROR(F78/E78,0)</f>
        <v>1</v>
      </c>
    </row>
    <row r="79">
      <c r="A79" s="34" t="n">
        <v>46297</v>
      </c>
      <c r="B79" s="35" t="inlineStr">
        <is>
          <t>DRV_37</t>
        </is>
      </c>
      <c r="C79" s="35" t="inlineStr">
        <is>
          <t>Grogol</t>
        </is>
      </c>
      <c r="D79" s="35" t="inlineStr">
        <is>
          <t>Mitra LM 2W</t>
        </is>
      </c>
      <c r="E79" s="35" t="n">
        <v>64</v>
      </c>
      <c r="F79" s="35" t="n">
        <v>64</v>
      </c>
      <c r="G79" s="35" t="n">
        <v>0</v>
      </c>
      <c r="H79" s="35" t="n">
        <v>0</v>
      </c>
      <c r="I79" s="35" t="n">
        <f>E79-SUM(F79:H79)</f>
        <v>0</v>
      </c>
      <c r="J79" s="36" t="n">
        <f>IFERROR(F79/E79,0)</f>
        <v>1</v>
      </c>
    </row>
    <row r="80">
      <c r="A80" s="34" t="n">
        <v>46297</v>
      </c>
      <c r="B80" s="35" t="inlineStr">
        <is>
          <t>DRV_38</t>
        </is>
      </c>
      <c r="C80" s="35" t="inlineStr">
        <is>
          <t>Grogol</t>
        </is>
      </c>
      <c r="D80" s="35" t="inlineStr">
        <is>
          <t>Mitra LM 2W</t>
        </is>
      </c>
      <c r="E80" s="35" t="n">
        <v>136</v>
      </c>
      <c r="F80" s="35" t="n">
        <v>136</v>
      </c>
      <c r="G80" s="35" t="n">
        <v>0</v>
      </c>
      <c r="H80" s="35" t="n">
        <v>0</v>
      </c>
      <c r="I80" s="35" t="n">
        <f>E80-SUM(F80:H80)</f>
        <v>0</v>
      </c>
      <c r="J80" s="36" t="n">
        <f>IFERROR(F80/E80,0)</f>
        <v>1</v>
      </c>
    </row>
    <row r="81">
      <c r="A81" s="34" t="n">
        <v>46297</v>
      </c>
      <c r="B81" s="35" t="inlineStr">
        <is>
          <t>DRV_39</t>
        </is>
      </c>
      <c r="C81" s="35" t="inlineStr">
        <is>
          <t>Pangkalan Jati Lama</t>
        </is>
      </c>
      <c r="D81" s="35" t="inlineStr">
        <is>
          <t>Dedicated LM 2W</t>
        </is>
      </c>
      <c r="E81" s="35" t="n">
        <v>130</v>
      </c>
      <c r="F81" s="35" t="n">
        <v>130</v>
      </c>
      <c r="G81" s="35" t="n">
        <v>0</v>
      </c>
      <c r="H81" s="35" t="n">
        <v>0</v>
      </c>
      <c r="I81" s="35" t="n">
        <f>E81-SUM(F81:H81)</f>
        <v>0</v>
      </c>
      <c r="J81" s="36" t="n">
        <f>IFERROR(F81/E81,0)</f>
        <v>1</v>
      </c>
    </row>
    <row r="82">
      <c r="A82" s="34" t="n">
        <v>46297</v>
      </c>
      <c r="B82" s="35" t="inlineStr">
        <is>
          <t>DRV_40</t>
        </is>
      </c>
      <c r="C82" s="35" t="inlineStr">
        <is>
          <t>Grogol</t>
        </is>
      </c>
      <c r="D82" s="35" t="inlineStr">
        <is>
          <t>Dedicated LM 2W</t>
        </is>
      </c>
      <c r="E82" s="35" t="n">
        <v>132</v>
      </c>
      <c r="F82" s="35" t="n">
        <v>132</v>
      </c>
      <c r="G82" s="35" t="n">
        <v>0</v>
      </c>
      <c r="H82" s="35" t="n">
        <v>0</v>
      </c>
      <c r="I82" s="35" t="n">
        <f>E82-SUM(F82:H82)</f>
        <v>0</v>
      </c>
      <c r="J82" s="36" t="n">
        <f>IFERROR(F82/E82,0)</f>
        <v>1</v>
      </c>
    </row>
    <row r="83">
      <c r="A83" s="34" t="n">
        <v>46297</v>
      </c>
      <c r="B83" s="35" t="inlineStr">
        <is>
          <t>DRV_42</t>
        </is>
      </c>
      <c r="C83" s="35" t="inlineStr">
        <is>
          <t>Grogol</t>
        </is>
      </c>
      <c r="D83" s="35" t="inlineStr">
        <is>
          <t>Mitra LM 2W</t>
        </is>
      </c>
      <c r="E83" s="35" t="n">
        <v>131</v>
      </c>
      <c r="F83" s="35" t="n">
        <v>131</v>
      </c>
      <c r="G83" s="35" t="n">
        <v>0</v>
      </c>
      <c r="H83" s="35" t="n">
        <v>0</v>
      </c>
      <c r="I83" s="35" t="n">
        <f>E83-SUM(F83:H83)</f>
        <v>0</v>
      </c>
      <c r="J83" s="36" t="n">
        <f>IFERROR(F83/E83,0)</f>
        <v>1</v>
      </c>
    </row>
    <row r="84">
      <c r="A84" s="34" t="n">
        <v>46297</v>
      </c>
      <c r="B84" s="35" t="inlineStr">
        <is>
          <t>DRV_43</t>
        </is>
      </c>
      <c r="C84" s="35" t="inlineStr">
        <is>
          <t>Meruyung</t>
        </is>
      </c>
      <c r="D84" s="35" t="inlineStr">
        <is>
          <t>Mitra LM 2W</t>
        </is>
      </c>
      <c r="E84" s="35" t="n">
        <v>70</v>
      </c>
      <c r="F84" s="35" t="n">
        <v>70</v>
      </c>
      <c r="G84" s="35" t="n">
        <v>0</v>
      </c>
      <c r="H84" s="35" t="n">
        <v>0</v>
      </c>
      <c r="I84" s="35" t="n">
        <f>E84-SUM(F84:H84)</f>
        <v>0</v>
      </c>
      <c r="J84" s="36" t="n">
        <f>IFERROR(F84/E84,0)</f>
        <v>1</v>
      </c>
    </row>
    <row r="85">
      <c r="A85" s="34" t="n">
        <v>46297</v>
      </c>
      <c r="B85" s="35" t="inlineStr">
        <is>
          <t>DRV_44</t>
        </is>
      </c>
      <c r="C85" s="35" t="inlineStr">
        <is>
          <t>Pangkalan Jati Lama</t>
        </is>
      </c>
      <c r="D85" s="35" t="inlineStr">
        <is>
          <t>Dedicated LM 2W</t>
        </is>
      </c>
      <c r="E85" s="35" t="n">
        <v>140</v>
      </c>
      <c r="F85" s="35" t="n">
        <v>140</v>
      </c>
      <c r="G85" s="35" t="n">
        <v>0</v>
      </c>
      <c r="H85" s="35" t="n">
        <v>0</v>
      </c>
      <c r="I85" s="35" t="n">
        <f>E85-SUM(F85:H85)</f>
        <v>0</v>
      </c>
      <c r="J85" s="36" t="n">
        <f>IFERROR(F85/E85,0)</f>
        <v>1</v>
      </c>
    </row>
    <row r="86">
      <c r="A86" s="34" t="n">
        <v>46297</v>
      </c>
      <c r="B86" s="35" t="inlineStr">
        <is>
          <t>DRV_45</t>
        </is>
      </c>
      <c r="C86" s="35" t="inlineStr">
        <is>
          <t>Krukut</t>
        </is>
      </c>
      <c r="D86" s="35" t="inlineStr">
        <is>
          <t>Mitra LM 2W</t>
        </is>
      </c>
      <c r="E86" s="35" t="n">
        <v>85</v>
      </c>
      <c r="F86" s="35" t="n">
        <v>85</v>
      </c>
      <c r="G86" s="35" t="n">
        <v>0</v>
      </c>
      <c r="H86" s="35" t="n">
        <v>0</v>
      </c>
      <c r="I86" s="35" t="n">
        <f>E86-SUM(F86:H86)</f>
        <v>0</v>
      </c>
      <c r="J86" s="36" t="n">
        <f>IFERROR(F86/E86,0)</f>
        <v>1</v>
      </c>
    </row>
    <row r="87">
      <c r="A87" s="34" t="n">
        <v>46297</v>
      </c>
      <c r="B87" s="35" t="inlineStr">
        <is>
          <t>DRV_46</t>
        </is>
      </c>
      <c r="C87" s="35" t="inlineStr">
        <is>
          <t>Pangkalan Jati Lama</t>
        </is>
      </c>
      <c r="D87" s="35" t="inlineStr">
        <is>
          <t>Mitra LM 2W</t>
        </is>
      </c>
      <c r="E87" s="35" t="n">
        <v>57</v>
      </c>
      <c r="F87" s="35" t="n">
        <v>57</v>
      </c>
      <c r="G87" s="35" t="n">
        <v>0</v>
      </c>
      <c r="H87" s="35" t="n">
        <v>0</v>
      </c>
      <c r="I87" s="35" t="n">
        <f>E87-SUM(F87:H87)</f>
        <v>0</v>
      </c>
      <c r="J87" s="36" t="n">
        <f>IFERROR(F87/E87,0)</f>
        <v>1</v>
      </c>
    </row>
    <row r="88">
      <c r="A88" s="34" t="n">
        <v>46297</v>
      </c>
      <c r="B88" s="35" t="inlineStr">
        <is>
          <t>DRV_47</t>
        </is>
      </c>
      <c r="C88" s="35" t="inlineStr">
        <is>
          <t>Limo</t>
        </is>
      </c>
      <c r="D88" s="35" t="inlineStr">
        <is>
          <t>Dedicated LM 2W</t>
        </is>
      </c>
      <c r="E88" s="35" t="n">
        <v>159</v>
      </c>
      <c r="F88" s="35" t="n">
        <v>159</v>
      </c>
      <c r="G88" s="35" t="n">
        <v>0</v>
      </c>
      <c r="H88" s="35" t="n">
        <v>0</v>
      </c>
      <c r="I88" s="35" t="n">
        <f>E88-SUM(F88:H88)</f>
        <v>0</v>
      </c>
      <c r="J88" s="36" t="n">
        <f>IFERROR(F88/E88,0)</f>
        <v>1</v>
      </c>
    </row>
    <row r="89">
      <c r="A89" s="34" t="n">
        <v>46297</v>
      </c>
      <c r="B89" s="35" t="inlineStr">
        <is>
          <t>DRV_48</t>
        </is>
      </c>
      <c r="C89" s="35" t="inlineStr">
        <is>
          <t>Pangkalan Jati Baru</t>
        </is>
      </c>
      <c r="D89" s="35" t="inlineStr">
        <is>
          <t>Mitra LM 2W</t>
        </is>
      </c>
      <c r="E89" s="35" t="n">
        <v>56</v>
      </c>
      <c r="F89" s="35" t="n">
        <v>56</v>
      </c>
      <c r="G89" s="35" t="n">
        <v>0</v>
      </c>
      <c r="H89" s="35" t="n">
        <v>0</v>
      </c>
      <c r="I89" s="35" t="n">
        <f>E89-SUM(F89:H89)</f>
        <v>0</v>
      </c>
      <c r="J89" s="36" t="n">
        <f>IFERROR(F89/E89,0)</f>
        <v>1</v>
      </c>
    </row>
    <row r="90">
      <c r="A90" s="34" t="n">
        <v>46297</v>
      </c>
      <c r="B90" s="35" t="inlineStr">
        <is>
          <t>DRV_49</t>
        </is>
      </c>
      <c r="C90" s="35" t="inlineStr">
        <is>
          <t>Limo</t>
        </is>
      </c>
      <c r="D90" s="35" t="inlineStr">
        <is>
          <t>Mitra LM 2W</t>
        </is>
      </c>
      <c r="E90" s="35" t="n">
        <v>101</v>
      </c>
      <c r="F90" s="35" t="n">
        <v>101</v>
      </c>
      <c r="G90" s="35" t="n">
        <v>0</v>
      </c>
      <c r="H90" s="35" t="n">
        <v>0</v>
      </c>
      <c r="I90" s="35" t="n">
        <f>E90-SUM(F90:H90)</f>
        <v>0</v>
      </c>
      <c r="J90" s="36" t="n">
        <f>IFERROR(F90/E90,0)</f>
        <v>1</v>
      </c>
    </row>
    <row r="91">
      <c r="A91" s="34" t="n">
        <v>46297</v>
      </c>
      <c r="B91" s="35" t="inlineStr">
        <is>
          <t>DRV_50</t>
        </is>
      </c>
      <c r="C91" s="35" t="inlineStr">
        <is>
          <t>Pangkalan Jati Baru</t>
        </is>
      </c>
      <c r="D91" s="35" t="inlineStr">
        <is>
          <t>Dedicated LM 2W</t>
        </is>
      </c>
      <c r="E91" s="35" t="n">
        <v>156</v>
      </c>
      <c r="F91" s="35" t="n">
        <v>156</v>
      </c>
      <c r="G91" s="35" t="n">
        <v>0</v>
      </c>
      <c r="H91" s="35" t="n">
        <v>0</v>
      </c>
      <c r="I91" s="35" t="n">
        <f>E91-SUM(F91:H91)</f>
        <v>0</v>
      </c>
      <c r="J91" s="36" t="n">
        <f>IFERROR(F91/E91,0)</f>
        <v>1</v>
      </c>
    </row>
    <row r="92">
      <c r="A92" s="34" t="n">
        <v>46297</v>
      </c>
      <c r="B92" s="35" t="inlineStr">
        <is>
          <t>DRV_54</t>
        </is>
      </c>
      <c r="C92" s="35" t="inlineStr">
        <is>
          <t>GANDUL</t>
        </is>
      </c>
      <c r="D92" s="35" t="inlineStr">
        <is>
          <t>Dedicated LM 2W</t>
        </is>
      </c>
      <c r="E92" s="35" t="n">
        <v>132</v>
      </c>
      <c r="F92" s="35" t="n">
        <v>132</v>
      </c>
      <c r="G92" s="35" t="n">
        <v>0</v>
      </c>
      <c r="H92" s="35" t="n">
        <v>0</v>
      </c>
      <c r="I92" s="35" t="n">
        <f>E92-SUM(F92:H92)</f>
        <v>0</v>
      </c>
      <c r="J92" s="36" t="n">
        <f>IFERROR(F92/E92,0)</f>
        <v>1</v>
      </c>
    </row>
    <row r="93">
      <c r="A93" s="34" t="n">
        <v>46297</v>
      </c>
      <c r="B93" s="35" t="inlineStr">
        <is>
          <t>DRV_55</t>
        </is>
      </c>
      <c r="C93" s="35" t="inlineStr">
        <is>
          <t>CINERE</t>
        </is>
      </c>
      <c r="D93" s="35" t="inlineStr">
        <is>
          <t>Mitra LM 2W</t>
        </is>
      </c>
      <c r="E93" s="35" t="n">
        <v>69</v>
      </c>
      <c r="F93" s="35" t="n">
        <v>69</v>
      </c>
      <c r="G93" s="35" t="n">
        <v>0</v>
      </c>
      <c r="H93" s="35" t="n">
        <v>0</v>
      </c>
      <c r="I93" s="35" t="n">
        <f>E93-SUM(F93:H93)</f>
        <v>0</v>
      </c>
      <c r="J93" s="36" t="n">
        <f>IFERROR(F93/E93,0)</f>
        <v>1</v>
      </c>
    </row>
    <row r="94">
      <c r="A94" s="34" t="n">
        <v>46297</v>
      </c>
      <c r="B94" s="35" t="inlineStr">
        <is>
          <t>DRV_56</t>
        </is>
      </c>
      <c r="C94" s="35" t="inlineStr">
        <is>
          <t>Pangkalan Jati Baru</t>
        </is>
      </c>
      <c r="D94" s="35" t="inlineStr">
        <is>
          <t>Mitra LM 2W</t>
        </is>
      </c>
      <c r="E94" s="35" t="n">
        <v>74</v>
      </c>
      <c r="F94" s="35" t="n">
        <v>74</v>
      </c>
      <c r="G94" s="35" t="n">
        <v>0</v>
      </c>
      <c r="H94" s="35" t="n">
        <v>0</v>
      </c>
      <c r="I94" s="35" t="n">
        <f>E94-SUM(F94:H94)</f>
        <v>0</v>
      </c>
      <c r="J94" s="36" t="n">
        <f>IFERROR(F94/E94,0)</f>
        <v>1</v>
      </c>
    </row>
    <row r="95">
      <c r="A95" s="34" t="n">
        <v>46297</v>
      </c>
      <c r="B95" s="35" t="inlineStr">
        <is>
          <t>DRV_58</t>
        </is>
      </c>
      <c r="C95" s="35" t="inlineStr">
        <is>
          <t>Krukut</t>
        </is>
      </c>
      <c r="D95" s="35" t="inlineStr">
        <is>
          <t>Mitra LM 2W</t>
        </is>
      </c>
      <c r="E95" s="35" t="n">
        <v>95</v>
      </c>
      <c r="F95" s="35" t="n">
        <v>95</v>
      </c>
      <c r="G95" s="35" t="n">
        <v>0</v>
      </c>
      <c r="H95" s="35" t="n">
        <v>0</v>
      </c>
      <c r="I95" s="35" t="n">
        <f>E95-SUM(F95:H95)</f>
        <v>0</v>
      </c>
      <c r="J95" s="36" t="n">
        <f>IFERROR(F95/E95,0)</f>
        <v>1</v>
      </c>
    </row>
    <row r="96">
      <c r="A96" s="34" t="n">
        <v>46298</v>
      </c>
      <c r="B96" s="35" t="inlineStr">
        <is>
          <t>DRV_02</t>
        </is>
      </c>
      <c r="C96" s="35" t="inlineStr">
        <is>
          <t>Grogol</t>
        </is>
      </c>
      <c r="D96" s="35" t="inlineStr">
        <is>
          <t>Mitra LM 2W</t>
        </is>
      </c>
      <c r="E96" s="35" t="n">
        <v>70</v>
      </c>
      <c r="F96" s="35" t="n">
        <v>70</v>
      </c>
      <c r="G96" s="35" t="n">
        <v>0</v>
      </c>
      <c r="H96" s="35" t="n">
        <v>0</v>
      </c>
      <c r="I96" s="35" t="n">
        <f>E96-SUM(F96:H96)</f>
        <v>0</v>
      </c>
      <c r="J96" s="36" t="n">
        <f>IFERROR(F96/E96,0)</f>
        <v>1</v>
      </c>
    </row>
    <row r="97">
      <c r="A97" s="34" t="n">
        <v>46298</v>
      </c>
      <c r="B97" s="35" t="inlineStr">
        <is>
          <t>DRV_03</t>
        </is>
      </c>
      <c r="C97" s="35" t="inlineStr">
        <is>
          <t>GANDUL</t>
        </is>
      </c>
      <c r="D97" s="35" t="inlineStr">
        <is>
          <t>Mitra LM 2W</t>
        </is>
      </c>
      <c r="E97" s="35" t="n">
        <v>131</v>
      </c>
      <c r="F97" s="35" t="n">
        <v>131</v>
      </c>
      <c r="G97" s="35" t="n">
        <v>0</v>
      </c>
      <c r="H97" s="35" t="n">
        <v>0</v>
      </c>
      <c r="I97" s="35" t="n">
        <f>E97-SUM(F97:H97)</f>
        <v>0</v>
      </c>
      <c r="J97" s="36" t="n">
        <f>IFERROR(F97/E97,0)</f>
        <v>1</v>
      </c>
    </row>
    <row r="98">
      <c r="A98" s="34" t="n">
        <v>46298</v>
      </c>
      <c r="B98" s="35" t="inlineStr">
        <is>
          <t>DRV_04</t>
        </is>
      </c>
      <c r="C98" s="35" t="inlineStr">
        <is>
          <t>Limo</t>
        </is>
      </c>
      <c r="D98" s="35" t="inlineStr">
        <is>
          <t>Mitra LM 2W</t>
        </is>
      </c>
      <c r="E98" s="35" t="n">
        <v>68</v>
      </c>
      <c r="F98" s="35" t="n">
        <v>68</v>
      </c>
      <c r="G98" s="35" t="n">
        <v>0</v>
      </c>
      <c r="H98" s="35" t="n">
        <v>0</v>
      </c>
      <c r="I98" s="35" t="n">
        <f>E98-SUM(F98:H98)</f>
        <v>0</v>
      </c>
      <c r="J98" s="36" t="n">
        <f>IFERROR(F98/E98,0)</f>
        <v>1</v>
      </c>
    </row>
    <row r="99">
      <c r="A99" s="34" t="n">
        <v>46298</v>
      </c>
      <c r="B99" s="35" t="inlineStr">
        <is>
          <t>DRV_06</t>
        </is>
      </c>
      <c r="C99" s="35" t="inlineStr">
        <is>
          <t>Grogol</t>
        </is>
      </c>
      <c r="D99" s="35" t="inlineStr">
        <is>
          <t>Mitra LM 2W</t>
        </is>
      </c>
      <c r="E99" s="35" t="n">
        <v>71</v>
      </c>
      <c r="F99" s="35" t="n">
        <v>71</v>
      </c>
      <c r="G99" s="35" t="n">
        <v>0</v>
      </c>
      <c r="H99" s="35" t="n">
        <v>0</v>
      </c>
      <c r="I99" s="35" t="n">
        <f>E99-SUM(F99:H99)</f>
        <v>0</v>
      </c>
      <c r="J99" s="36" t="n">
        <f>IFERROR(F99/E99,0)</f>
        <v>1</v>
      </c>
    </row>
    <row r="100">
      <c r="A100" s="34" t="n">
        <v>46298</v>
      </c>
      <c r="B100" s="35" t="inlineStr">
        <is>
          <t>DRV_08</t>
        </is>
      </c>
      <c r="C100" s="35" t="inlineStr">
        <is>
          <t>CINERE</t>
        </is>
      </c>
      <c r="D100" s="35" t="inlineStr">
        <is>
          <t>Mitra LM 2W</t>
        </is>
      </c>
      <c r="E100" s="35" t="n">
        <v>53</v>
      </c>
      <c r="F100" s="35" t="n">
        <v>53</v>
      </c>
      <c r="G100" s="35" t="n">
        <v>0</v>
      </c>
      <c r="H100" s="35" t="n">
        <v>0</v>
      </c>
      <c r="I100" s="35" t="n">
        <f>E100-SUM(F100:H100)</f>
        <v>0</v>
      </c>
      <c r="J100" s="36" t="n">
        <f>IFERROR(F100/E100,0)</f>
        <v>1</v>
      </c>
    </row>
    <row r="101">
      <c r="A101" s="34" t="n">
        <v>46298</v>
      </c>
      <c r="B101" s="35" t="inlineStr">
        <is>
          <t>DRV_10</t>
        </is>
      </c>
      <c r="C101" s="35" t="inlineStr">
        <is>
          <t>Meruyung</t>
        </is>
      </c>
      <c r="D101" s="35" t="inlineStr">
        <is>
          <t>Mitra LM 2W</t>
        </is>
      </c>
      <c r="E101" s="35" t="n">
        <v>42</v>
      </c>
      <c r="F101" s="35" t="n">
        <v>42</v>
      </c>
      <c r="G101" s="35" t="n">
        <v>0</v>
      </c>
      <c r="H101" s="35" t="n">
        <v>0</v>
      </c>
      <c r="I101" s="35" t="n">
        <f>E101-SUM(F101:H101)</f>
        <v>0</v>
      </c>
      <c r="J101" s="36" t="n">
        <f>IFERROR(F101/E101,0)</f>
        <v>1</v>
      </c>
    </row>
    <row r="102">
      <c r="A102" s="34" t="n">
        <v>46298</v>
      </c>
      <c r="B102" s="35" t="inlineStr">
        <is>
          <t>DRV_11</t>
        </is>
      </c>
      <c r="C102" s="35" t="inlineStr">
        <is>
          <t>Grogol</t>
        </is>
      </c>
      <c r="D102" s="35" t="inlineStr">
        <is>
          <t>Mitra LM 2W</t>
        </is>
      </c>
      <c r="E102" s="35" t="n">
        <v>84</v>
      </c>
      <c r="F102" s="35" t="n">
        <v>84</v>
      </c>
      <c r="G102" s="35" t="n">
        <v>0</v>
      </c>
      <c r="H102" s="35" t="n">
        <v>0</v>
      </c>
      <c r="I102" s="35" t="n">
        <f>E102-SUM(F102:H102)</f>
        <v>0</v>
      </c>
      <c r="J102" s="36" t="n">
        <f>IFERROR(F102/E102,0)</f>
        <v>1</v>
      </c>
    </row>
    <row r="103">
      <c r="A103" s="34" t="n">
        <v>46298</v>
      </c>
      <c r="B103" s="35" t="inlineStr">
        <is>
          <t>DRV_12</t>
        </is>
      </c>
      <c r="C103" s="35" t="inlineStr">
        <is>
          <t>Pangkalan Jati Baru</t>
        </is>
      </c>
      <c r="D103" s="35" t="inlineStr">
        <is>
          <t>Mitra LM 2W</t>
        </is>
      </c>
      <c r="E103" s="35" t="n">
        <v>176</v>
      </c>
      <c r="F103" s="35" t="n">
        <v>176</v>
      </c>
      <c r="G103" s="35" t="n">
        <v>0</v>
      </c>
      <c r="H103" s="35" t="n">
        <v>0</v>
      </c>
      <c r="I103" s="35" t="n">
        <f>E103-SUM(F103:H103)</f>
        <v>0</v>
      </c>
      <c r="J103" s="36" t="n">
        <f>IFERROR(F103/E103,0)</f>
        <v>1</v>
      </c>
    </row>
    <row r="104">
      <c r="A104" s="34" t="n">
        <v>46298</v>
      </c>
      <c r="B104" s="35" t="inlineStr">
        <is>
          <t>DRV_14</t>
        </is>
      </c>
      <c r="C104" s="35" t="inlineStr">
        <is>
          <t>CINERE</t>
        </is>
      </c>
      <c r="D104" s="35" t="inlineStr">
        <is>
          <t>Dedicated LM 2W</t>
        </is>
      </c>
      <c r="E104" s="35" t="n">
        <v>125</v>
      </c>
      <c r="F104" s="35" t="n">
        <v>125</v>
      </c>
      <c r="G104" s="35" t="n">
        <v>0</v>
      </c>
      <c r="H104" s="35" t="n">
        <v>0</v>
      </c>
      <c r="I104" s="35" t="n">
        <f>E104-SUM(F104:H104)</f>
        <v>0</v>
      </c>
      <c r="J104" s="36" t="n">
        <f>IFERROR(F104/E104,0)</f>
        <v>1</v>
      </c>
    </row>
    <row r="105">
      <c r="A105" s="34" t="n">
        <v>46298</v>
      </c>
      <c r="B105" s="35" t="inlineStr">
        <is>
          <t>DRV_15</t>
        </is>
      </c>
      <c r="C105" s="35" t="inlineStr">
        <is>
          <t>Krukut</t>
        </is>
      </c>
      <c r="D105" s="35" t="inlineStr">
        <is>
          <t>Mitra LM 2W</t>
        </is>
      </c>
      <c r="E105" s="35" t="n">
        <v>82</v>
      </c>
      <c r="F105" s="35" t="n">
        <v>82</v>
      </c>
      <c r="G105" s="35" t="n">
        <v>0</v>
      </c>
      <c r="H105" s="35" t="n">
        <v>0</v>
      </c>
      <c r="I105" s="35" t="n">
        <f>E105-SUM(F105:H105)</f>
        <v>0</v>
      </c>
      <c r="J105" s="36" t="n">
        <f>IFERROR(F105/E105,0)</f>
        <v>1</v>
      </c>
    </row>
    <row r="106">
      <c r="A106" s="34" t="n">
        <v>46298</v>
      </c>
      <c r="B106" s="35" t="inlineStr">
        <is>
          <t>DRV_16</t>
        </is>
      </c>
      <c r="C106" s="35" t="inlineStr">
        <is>
          <t>Meruyung</t>
        </is>
      </c>
      <c r="D106" s="35" t="inlineStr">
        <is>
          <t>Mitra LM 2W</t>
        </is>
      </c>
      <c r="E106" s="35" t="n">
        <v>112</v>
      </c>
      <c r="F106" s="35" t="n">
        <v>112</v>
      </c>
      <c r="G106" s="35" t="n">
        <v>0</v>
      </c>
      <c r="H106" s="35" t="n">
        <v>0</v>
      </c>
      <c r="I106" s="35" t="n">
        <f>E106-SUM(F106:H106)</f>
        <v>0</v>
      </c>
      <c r="J106" s="36" t="n">
        <f>IFERROR(F106/E106,0)</f>
        <v>1</v>
      </c>
    </row>
    <row r="107">
      <c r="A107" s="34" t="n">
        <v>46298</v>
      </c>
      <c r="B107" s="35" t="inlineStr">
        <is>
          <t>DRV_17</t>
        </is>
      </c>
      <c r="C107" s="35" t="inlineStr">
        <is>
          <t>Krukut</t>
        </is>
      </c>
      <c r="D107" s="35" t="inlineStr">
        <is>
          <t>Dedicated LM 2W</t>
        </is>
      </c>
      <c r="E107" s="35" t="n">
        <v>137</v>
      </c>
      <c r="F107" s="35" t="n">
        <v>137</v>
      </c>
      <c r="G107" s="35" t="n">
        <v>0</v>
      </c>
      <c r="H107" s="35" t="n">
        <v>0</v>
      </c>
      <c r="I107" s="35" t="n">
        <f>E107-SUM(F107:H107)</f>
        <v>0</v>
      </c>
      <c r="J107" s="36" t="n">
        <f>IFERROR(F107/E107,0)</f>
        <v>1</v>
      </c>
    </row>
    <row r="108">
      <c r="A108" s="34" t="n">
        <v>46298</v>
      </c>
      <c r="B108" s="35" t="inlineStr">
        <is>
          <t>DRV_18</t>
        </is>
      </c>
      <c r="C108" s="35" t="inlineStr">
        <is>
          <t>Meruyung</t>
        </is>
      </c>
      <c r="D108" s="35" t="inlineStr">
        <is>
          <t>Mitra LM 2W</t>
        </is>
      </c>
      <c r="E108" s="35" t="n">
        <v>99</v>
      </c>
      <c r="F108" s="35" t="n">
        <v>99</v>
      </c>
      <c r="G108" s="35" t="n">
        <v>0</v>
      </c>
      <c r="H108" s="35" t="n">
        <v>0</v>
      </c>
      <c r="I108" s="35" t="n">
        <f>E108-SUM(F108:H108)</f>
        <v>0</v>
      </c>
      <c r="J108" s="36" t="n">
        <f>IFERROR(F108/E108,0)</f>
        <v>1</v>
      </c>
    </row>
    <row r="109">
      <c r="A109" s="34" t="n">
        <v>46298</v>
      </c>
      <c r="B109" s="35" t="inlineStr">
        <is>
          <t>DRV_19</t>
        </is>
      </c>
      <c r="C109" s="35" t="inlineStr">
        <is>
          <t>Meruyung</t>
        </is>
      </c>
      <c r="D109" s="35" t="inlineStr">
        <is>
          <t>Mitra LM 2W</t>
        </is>
      </c>
      <c r="E109" s="35" t="n">
        <v>78</v>
      </c>
      <c r="F109" s="35" t="n">
        <v>78</v>
      </c>
      <c r="G109" s="35" t="n">
        <v>0</v>
      </c>
      <c r="H109" s="35" t="n">
        <v>0</v>
      </c>
      <c r="I109" s="35" t="n">
        <f>E109-SUM(F109:H109)</f>
        <v>0</v>
      </c>
      <c r="J109" s="36" t="n">
        <f>IFERROR(F109/E109,0)</f>
        <v>1</v>
      </c>
    </row>
    <row r="110">
      <c r="A110" s="34" t="n">
        <v>46298</v>
      </c>
      <c r="B110" s="35" t="inlineStr">
        <is>
          <t>DRV_20</t>
        </is>
      </c>
      <c r="C110" s="35" t="inlineStr">
        <is>
          <t>Krukut</t>
        </is>
      </c>
      <c r="D110" s="35" t="inlineStr">
        <is>
          <t>Mitra LM 2W</t>
        </is>
      </c>
      <c r="E110" s="35" t="n">
        <v>80</v>
      </c>
      <c r="F110" s="35" t="n">
        <v>80</v>
      </c>
      <c r="G110" s="35" t="n">
        <v>0</v>
      </c>
      <c r="H110" s="35" t="n">
        <v>0</v>
      </c>
      <c r="I110" s="35" t="n">
        <f>E110-SUM(F110:H110)</f>
        <v>0</v>
      </c>
      <c r="J110" s="36" t="n">
        <f>IFERROR(F110/E110,0)</f>
        <v>1</v>
      </c>
    </row>
    <row r="111">
      <c r="A111" s="34" t="n">
        <v>46298</v>
      </c>
      <c r="B111" s="35" t="inlineStr">
        <is>
          <t>DRV_21</t>
        </is>
      </c>
      <c r="C111" s="35" t="inlineStr">
        <is>
          <t>Grogol</t>
        </is>
      </c>
      <c r="D111" s="35" t="inlineStr">
        <is>
          <t>Dedicated LM 2W</t>
        </is>
      </c>
      <c r="E111" s="35" t="n">
        <v>121</v>
      </c>
      <c r="F111" s="35" t="n">
        <v>121</v>
      </c>
      <c r="G111" s="35" t="n">
        <v>0</v>
      </c>
      <c r="H111" s="35" t="n">
        <v>0</v>
      </c>
      <c r="I111" s="35" t="n">
        <f>E111-SUM(F111:H111)</f>
        <v>0</v>
      </c>
      <c r="J111" s="36" t="n">
        <f>IFERROR(F111/E111,0)</f>
        <v>1</v>
      </c>
    </row>
    <row r="112">
      <c r="A112" s="34" t="n">
        <v>46298</v>
      </c>
      <c r="B112" s="35" t="inlineStr">
        <is>
          <t>DRV_22</t>
        </is>
      </c>
      <c r="C112" s="35" t="inlineStr">
        <is>
          <t>Limo</t>
        </is>
      </c>
      <c r="D112" s="35" t="inlineStr">
        <is>
          <t>Mitra LM 2W</t>
        </is>
      </c>
      <c r="E112" s="35" t="n">
        <v>84</v>
      </c>
      <c r="F112" s="35" t="n">
        <v>84</v>
      </c>
      <c r="G112" s="35" t="n">
        <v>0</v>
      </c>
      <c r="H112" s="35" t="n">
        <v>0</v>
      </c>
      <c r="I112" s="35" t="n">
        <f>E112-SUM(F112:H112)</f>
        <v>0</v>
      </c>
      <c r="J112" s="36" t="n">
        <f>IFERROR(F112/E112,0)</f>
        <v>1</v>
      </c>
    </row>
    <row r="113">
      <c r="A113" s="34" t="n">
        <v>46298</v>
      </c>
      <c r="B113" s="35" t="inlineStr">
        <is>
          <t>DRV_23</t>
        </is>
      </c>
      <c r="C113" s="35" t="inlineStr">
        <is>
          <t>Meruyung</t>
        </is>
      </c>
      <c r="D113" s="35" t="inlineStr">
        <is>
          <t>Mitra LM 2W</t>
        </is>
      </c>
      <c r="E113" s="35" t="n">
        <v>90</v>
      </c>
      <c r="F113" s="35" t="n">
        <v>90</v>
      </c>
      <c r="G113" s="35" t="n">
        <v>0</v>
      </c>
      <c r="H113" s="35" t="n">
        <v>0</v>
      </c>
      <c r="I113" s="35" t="n">
        <f>E113-SUM(F113:H113)</f>
        <v>0</v>
      </c>
      <c r="J113" s="36" t="n">
        <f>IFERROR(F113/E113,0)</f>
        <v>1</v>
      </c>
    </row>
    <row r="114">
      <c r="A114" s="34" t="n">
        <v>46298</v>
      </c>
      <c r="B114" s="35" t="inlineStr">
        <is>
          <t>DRV_25</t>
        </is>
      </c>
      <c r="C114" s="35" t="inlineStr">
        <is>
          <t>CINERE</t>
        </is>
      </c>
      <c r="D114" s="35" t="inlineStr">
        <is>
          <t>Mitra LM 2W</t>
        </is>
      </c>
      <c r="E114" s="35" t="n">
        <v>40</v>
      </c>
      <c r="F114" s="35" t="n">
        <v>40</v>
      </c>
      <c r="G114" s="35" t="n">
        <v>0</v>
      </c>
      <c r="H114" s="35" t="n">
        <v>0</v>
      </c>
      <c r="I114" s="35" t="n">
        <f>E114-SUM(F114:H114)</f>
        <v>0</v>
      </c>
      <c r="J114" s="36" t="n">
        <f>IFERROR(F114/E114,0)</f>
        <v>1</v>
      </c>
    </row>
    <row r="115">
      <c r="A115" s="34" t="n">
        <v>46298</v>
      </c>
      <c r="B115" s="35" t="inlineStr">
        <is>
          <t>DRV_26</t>
        </is>
      </c>
      <c r="C115" s="35" t="inlineStr">
        <is>
          <t>Pangkalan Jati Baru</t>
        </is>
      </c>
      <c r="D115" s="35" t="inlineStr">
        <is>
          <t>Mitra LM 2W</t>
        </is>
      </c>
      <c r="E115" s="35" t="n">
        <v>81</v>
      </c>
      <c r="F115" s="35" t="n">
        <v>81</v>
      </c>
      <c r="G115" s="35" t="n">
        <v>0</v>
      </c>
      <c r="H115" s="35" t="n">
        <v>0</v>
      </c>
      <c r="I115" s="35" t="n">
        <f>E115-SUM(F115:H115)</f>
        <v>0</v>
      </c>
      <c r="J115" s="36" t="n">
        <f>IFERROR(F115/E115,0)</f>
        <v>1</v>
      </c>
    </row>
    <row r="116">
      <c r="A116" s="34" t="n">
        <v>46298</v>
      </c>
      <c r="B116" s="35" t="inlineStr">
        <is>
          <t>DRV_28</t>
        </is>
      </c>
      <c r="C116" s="35" t="inlineStr">
        <is>
          <t>Pangkalan Jati Lama</t>
        </is>
      </c>
      <c r="D116" s="35" t="inlineStr">
        <is>
          <t>Mitra LM 2W</t>
        </is>
      </c>
      <c r="E116" s="35" t="n">
        <v>108</v>
      </c>
      <c r="F116" s="35" t="n">
        <v>108</v>
      </c>
      <c r="G116" s="35" t="n">
        <v>0</v>
      </c>
      <c r="H116" s="35" t="n">
        <v>0</v>
      </c>
      <c r="I116" s="35" t="n">
        <f>E116-SUM(F116:H116)</f>
        <v>0</v>
      </c>
      <c r="J116" s="36" t="n">
        <f>IFERROR(F116/E116,0)</f>
        <v>1</v>
      </c>
    </row>
    <row r="117">
      <c r="A117" s="34" t="n">
        <v>46298</v>
      </c>
      <c r="B117" s="35" t="inlineStr">
        <is>
          <t>DRV_29</t>
        </is>
      </c>
      <c r="C117" s="35" t="inlineStr">
        <is>
          <t>CINERE</t>
        </is>
      </c>
      <c r="D117" s="35" t="inlineStr">
        <is>
          <t>Mitra LM 2W</t>
        </is>
      </c>
      <c r="E117" s="35" t="n">
        <v>96</v>
      </c>
      <c r="F117" s="35" t="n">
        <v>96</v>
      </c>
      <c r="G117" s="35" t="n">
        <v>0</v>
      </c>
      <c r="H117" s="35" t="n">
        <v>0</v>
      </c>
      <c r="I117" s="35" t="n">
        <f>E117-SUM(F117:H117)</f>
        <v>0</v>
      </c>
      <c r="J117" s="36" t="n">
        <f>IFERROR(F117/E117,0)</f>
        <v>1</v>
      </c>
    </row>
    <row r="118">
      <c r="A118" s="34" t="n">
        <v>46298</v>
      </c>
      <c r="B118" s="35" t="inlineStr">
        <is>
          <t>DRV_31</t>
        </is>
      </c>
      <c r="C118" s="35" t="inlineStr">
        <is>
          <t>Krukut</t>
        </is>
      </c>
      <c r="D118" s="35" t="inlineStr">
        <is>
          <t>Mitra LM 2W</t>
        </is>
      </c>
      <c r="E118" s="35" t="n">
        <v>66</v>
      </c>
      <c r="F118" s="35" t="n">
        <v>66</v>
      </c>
      <c r="G118" s="35" t="n">
        <v>0</v>
      </c>
      <c r="H118" s="35" t="n">
        <v>0</v>
      </c>
      <c r="I118" s="35" t="n">
        <f>E118-SUM(F118:H118)</f>
        <v>0</v>
      </c>
      <c r="J118" s="36" t="n">
        <f>IFERROR(F118/E118,0)</f>
        <v>1</v>
      </c>
    </row>
    <row r="119">
      <c r="A119" s="34" t="n">
        <v>46298</v>
      </c>
      <c r="B119" s="35" t="inlineStr">
        <is>
          <t>DRV_32</t>
        </is>
      </c>
      <c r="C119" s="35" t="inlineStr">
        <is>
          <t>CINERE</t>
        </is>
      </c>
      <c r="D119" s="35" t="inlineStr">
        <is>
          <t>Mitra LM 2W</t>
        </is>
      </c>
      <c r="E119" s="35" t="n">
        <v>91</v>
      </c>
      <c r="F119" s="35" t="n">
        <v>91</v>
      </c>
      <c r="G119" s="35" t="n">
        <v>0</v>
      </c>
      <c r="H119" s="35" t="n">
        <v>0</v>
      </c>
      <c r="I119" s="35" t="n">
        <f>E119-SUM(F119:H119)</f>
        <v>0</v>
      </c>
      <c r="J119" s="36" t="n">
        <f>IFERROR(F119/E119,0)</f>
        <v>1</v>
      </c>
    </row>
    <row r="120">
      <c r="A120" s="34" t="n">
        <v>46298</v>
      </c>
      <c r="B120" s="35" t="inlineStr">
        <is>
          <t>DRV_33</t>
        </is>
      </c>
      <c r="C120" s="35" t="inlineStr">
        <is>
          <t>CINERE</t>
        </is>
      </c>
      <c r="D120" s="35" t="inlineStr">
        <is>
          <t>Dedicated LM 2W</t>
        </is>
      </c>
      <c r="E120" s="35" t="n">
        <v>124</v>
      </c>
      <c r="F120" s="35" t="n">
        <v>124</v>
      </c>
      <c r="G120" s="35" t="n">
        <v>0</v>
      </c>
      <c r="H120" s="35" t="n">
        <v>0</v>
      </c>
      <c r="I120" s="35" t="n">
        <f>E120-SUM(F120:H120)</f>
        <v>0</v>
      </c>
      <c r="J120" s="36" t="n">
        <f>IFERROR(F120/E120,0)</f>
        <v>1</v>
      </c>
    </row>
    <row r="121">
      <c r="A121" s="34" t="n">
        <v>46298</v>
      </c>
      <c r="B121" s="35" t="inlineStr">
        <is>
          <t>DRV_35</t>
        </is>
      </c>
      <c r="C121" s="35" t="inlineStr">
        <is>
          <t>CINERE</t>
        </is>
      </c>
      <c r="D121" s="35" t="inlineStr">
        <is>
          <t>Dedicated LM 2W</t>
        </is>
      </c>
      <c r="E121" s="35" t="n">
        <v>134</v>
      </c>
      <c r="F121" s="35" t="n">
        <v>134</v>
      </c>
      <c r="G121" s="35" t="n">
        <v>0</v>
      </c>
      <c r="H121" s="35" t="n">
        <v>0</v>
      </c>
      <c r="I121" s="35" t="n">
        <f>E121-SUM(F121:H121)</f>
        <v>0</v>
      </c>
      <c r="J121" s="36" t="n">
        <f>IFERROR(F121/E121,0)</f>
        <v>1</v>
      </c>
    </row>
    <row r="122">
      <c r="A122" s="34" t="n">
        <v>46298</v>
      </c>
      <c r="B122" s="35" t="inlineStr">
        <is>
          <t>DRV_36</t>
        </is>
      </c>
      <c r="C122" s="35" t="inlineStr">
        <is>
          <t>CINERE</t>
        </is>
      </c>
      <c r="D122" s="35" t="inlineStr">
        <is>
          <t>Mitra LM 2W</t>
        </is>
      </c>
      <c r="E122" s="35" t="n">
        <v>77</v>
      </c>
      <c r="F122" s="35" t="n">
        <v>77</v>
      </c>
      <c r="G122" s="35" t="n">
        <v>0</v>
      </c>
      <c r="H122" s="35" t="n">
        <v>0</v>
      </c>
      <c r="I122" s="35" t="n">
        <f>E122-SUM(F122:H122)</f>
        <v>0</v>
      </c>
      <c r="J122" s="36" t="n">
        <f>IFERROR(F122/E122,0)</f>
        <v>1</v>
      </c>
    </row>
    <row r="123">
      <c r="A123" s="34" t="n">
        <v>46298</v>
      </c>
      <c r="B123" s="35" t="inlineStr">
        <is>
          <t>DRV_37</t>
        </is>
      </c>
      <c r="C123" s="35" t="inlineStr">
        <is>
          <t>Grogol</t>
        </is>
      </c>
      <c r="D123" s="35" t="inlineStr">
        <is>
          <t>Mitra LM 2W</t>
        </is>
      </c>
      <c r="E123" s="35" t="n">
        <v>82</v>
      </c>
      <c r="F123" s="35" t="n">
        <v>82</v>
      </c>
      <c r="G123" s="35" t="n">
        <v>0</v>
      </c>
      <c r="H123" s="35" t="n">
        <v>0</v>
      </c>
      <c r="I123" s="35" t="n">
        <f>E123-SUM(F123:H123)</f>
        <v>0</v>
      </c>
      <c r="J123" s="36" t="n">
        <f>IFERROR(F123/E123,0)</f>
        <v>1</v>
      </c>
    </row>
    <row r="124">
      <c r="A124" s="34" t="n">
        <v>46298</v>
      </c>
      <c r="B124" s="35" t="inlineStr">
        <is>
          <t>DRV_38</t>
        </is>
      </c>
      <c r="C124" s="35" t="inlineStr">
        <is>
          <t>Grogol</t>
        </is>
      </c>
      <c r="D124" s="35" t="inlineStr">
        <is>
          <t>Mitra LM 2W</t>
        </is>
      </c>
      <c r="E124" s="35" t="n">
        <v>112</v>
      </c>
      <c r="F124" s="35" t="n">
        <v>112</v>
      </c>
      <c r="G124" s="35" t="n">
        <v>0</v>
      </c>
      <c r="H124" s="35" t="n">
        <v>0</v>
      </c>
      <c r="I124" s="35" t="n">
        <f>E124-SUM(F124:H124)</f>
        <v>0</v>
      </c>
      <c r="J124" s="36" t="n">
        <f>IFERROR(F124/E124,0)</f>
        <v>1</v>
      </c>
    </row>
    <row r="125">
      <c r="A125" s="34" t="n">
        <v>46298</v>
      </c>
      <c r="B125" s="35" t="inlineStr">
        <is>
          <t>DRV_40</t>
        </is>
      </c>
      <c r="C125" s="35" t="inlineStr">
        <is>
          <t>Grogol</t>
        </is>
      </c>
      <c r="D125" s="35" t="inlineStr">
        <is>
          <t>Dedicated LM 2W</t>
        </is>
      </c>
      <c r="E125" s="35" t="n">
        <v>122</v>
      </c>
      <c r="F125" s="35" t="n">
        <v>122</v>
      </c>
      <c r="G125" s="35" t="n">
        <v>0</v>
      </c>
      <c r="H125" s="35" t="n">
        <v>0</v>
      </c>
      <c r="I125" s="35" t="n">
        <f>E125-SUM(F125:H125)</f>
        <v>0</v>
      </c>
      <c r="J125" s="36" t="n">
        <f>IFERROR(F125/E125,0)</f>
        <v>1</v>
      </c>
    </row>
    <row r="126">
      <c r="A126" s="34" t="n">
        <v>46298</v>
      </c>
      <c r="B126" s="35" t="inlineStr">
        <is>
          <t>DRV_43</t>
        </is>
      </c>
      <c r="C126" s="35" t="inlineStr">
        <is>
          <t>Meruyung</t>
        </is>
      </c>
      <c r="D126" s="35" t="inlineStr">
        <is>
          <t>Mitra LM 2W</t>
        </is>
      </c>
      <c r="E126" s="35" t="n">
        <v>79</v>
      </c>
      <c r="F126" s="35" t="n">
        <v>79</v>
      </c>
      <c r="G126" s="35" t="n">
        <v>0</v>
      </c>
      <c r="H126" s="35" t="n">
        <v>0</v>
      </c>
      <c r="I126" s="35" t="n">
        <f>E126-SUM(F126:H126)</f>
        <v>0</v>
      </c>
      <c r="J126" s="36" t="n">
        <f>IFERROR(F126/E126,0)</f>
        <v>1</v>
      </c>
    </row>
    <row r="127">
      <c r="A127" s="34" t="n">
        <v>46298</v>
      </c>
      <c r="B127" s="35" t="inlineStr">
        <is>
          <t>DRV_44</t>
        </is>
      </c>
      <c r="C127" s="35" t="inlineStr">
        <is>
          <t>Pangkalan Jati Lama</t>
        </is>
      </c>
      <c r="D127" s="35" t="inlineStr">
        <is>
          <t>Dedicated LM 2W</t>
        </is>
      </c>
      <c r="E127" s="35" t="n">
        <v>122</v>
      </c>
      <c r="F127" s="35" t="n">
        <v>122</v>
      </c>
      <c r="G127" s="35" t="n">
        <v>0</v>
      </c>
      <c r="H127" s="35" t="n">
        <v>0</v>
      </c>
      <c r="I127" s="35" t="n">
        <f>E127-SUM(F127:H127)</f>
        <v>0</v>
      </c>
      <c r="J127" s="36" t="n">
        <f>IFERROR(F127/E127,0)</f>
        <v>1</v>
      </c>
    </row>
    <row r="128">
      <c r="A128" s="34" t="n">
        <v>46298</v>
      </c>
      <c r="B128" s="35" t="inlineStr">
        <is>
          <t>DRV_45</t>
        </is>
      </c>
      <c r="C128" s="35" t="inlineStr">
        <is>
          <t>Krukut</t>
        </is>
      </c>
      <c r="D128" s="35" t="inlineStr">
        <is>
          <t>Mitra LM 2W</t>
        </is>
      </c>
      <c r="E128" s="35" t="n">
        <v>90</v>
      </c>
      <c r="F128" s="35" t="n">
        <v>90</v>
      </c>
      <c r="G128" s="35" t="n">
        <v>0</v>
      </c>
      <c r="H128" s="35" t="n">
        <v>0</v>
      </c>
      <c r="I128" s="35" t="n">
        <f>E128-SUM(F128:H128)</f>
        <v>0</v>
      </c>
      <c r="J128" s="36" t="n">
        <f>IFERROR(F128/E128,0)</f>
        <v>1</v>
      </c>
    </row>
    <row r="129">
      <c r="A129" s="34" t="n">
        <v>46298</v>
      </c>
      <c r="B129" s="35" t="inlineStr">
        <is>
          <t>DRV_46</t>
        </is>
      </c>
      <c r="C129" s="35" t="inlineStr">
        <is>
          <t>Pangkalan Jati Lama</t>
        </is>
      </c>
      <c r="D129" s="35" t="inlineStr">
        <is>
          <t>Mitra LM 2W</t>
        </is>
      </c>
      <c r="E129" s="35" t="n">
        <v>86</v>
      </c>
      <c r="F129" s="35" t="n">
        <v>86</v>
      </c>
      <c r="G129" s="35" t="n">
        <v>0</v>
      </c>
      <c r="H129" s="35" t="n">
        <v>0</v>
      </c>
      <c r="I129" s="35" t="n">
        <f>E129-SUM(F129:H129)</f>
        <v>0</v>
      </c>
      <c r="J129" s="36" t="n">
        <f>IFERROR(F129/E129,0)</f>
        <v>1</v>
      </c>
    </row>
    <row r="130">
      <c r="A130" s="34" t="n">
        <v>46298</v>
      </c>
      <c r="B130" s="35" t="inlineStr">
        <is>
          <t>DRV_47</t>
        </is>
      </c>
      <c r="C130" s="35" t="inlineStr">
        <is>
          <t>Limo</t>
        </is>
      </c>
      <c r="D130" s="35" t="inlineStr">
        <is>
          <t>Dedicated LM 2W</t>
        </is>
      </c>
      <c r="E130" s="35" t="n">
        <v>120</v>
      </c>
      <c r="F130" s="35" t="n">
        <v>120</v>
      </c>
      <c r="G130" s="35" t="n">
        <v>0</v>
      </c>
      <c r="H130" s="35" t="n">
        <v>0</v>
      </c>
      <c r="I130" s="35" t="n">
        <f>E130-SUM(F130:H130)</f>
        <v>0</v>
      </c>
      <c r="J130" s="36" t="n">
        <f>IFERROR(F130/E130,0)</f>
        <v>1</v>
      </c>
    </row>
    <row r="131">
      <c r="A131" s="34" t="n">
        <v>46298</v>
      </c>
      <c r="B131" s="35" t="inlineStr">
        <is>
          <t>DRV_48</t>
        </is>
      </c>
      <c r="C131" s="35" t="inlineStr">
        <is>
          <t>Pangkalan Jati Baru</t>
        </is>
      </c>
      <c r="D131" s="35" t="inlineStr">
        <is>
          <t>Mitra LM 2W</t>
        </is>
      </c>
      <c r="E131" s="35" t="n">
        <v>17</v>
      </c>
      <c r="F131" s="35" t="n">
        <v>17</v>
      </c>
      <c r="G131" s="35" t="n">
        <v>0</v>
      </c>
      <c r="H131" s="35" t="n">
        <v>0</v>
      </c>
      <c r="I131" s="35" t="n">
        <f>E131-SUM(F131:H131)</f>
        <v>0</v>
      </c>
      <c r="J131" s="36" t="n">
        <f>IFERROR(F131/E131,0)</f>
        <v>1</v>
      </c>
    </row>
    <row r="132">
      <c r="A132" s="34" t="n">
        <v>46298</v>
      </c>
      <c r="B132" s="35" t="inlineStr">
        <is>
          <t>DRV_49</t>
        </is>
      </c>
      <c r="C132" s="35" t="inlineStr">
        <is>
          <t>Limo</t>
        </is>
      </c>
      <c r="D132" s="35" t="inlineStr">
        <is>
          <t>Mitra LM 2W</t>
        </is>
      </c>
      <c r="E132" s="35" t="n">
        <v>100</v>
      </c>
      <c r="F132" s="35" t="n">
        <v>100</v>
      </c>
      <c r="G132" s="35" t="n">
        <v>0</v>
      </c>
      <c r="H132" s="35" t="n">
        <v>0</v>
      </c>
      <c r="I132" s="35" t="n">
        <f>E132-SUM(F132:H132)</f>
        <v>0</v>
      </c>
      <c r="J132" s="36" t="n">
        <f>IFERROR(F132/E132,0)</f>
        <v>1</v>
      </c>
    </row>
    <row r="133">
      <c r="A133" s="34" t="n">
        <v>46298</v>
      </c>
      <c r="B133" s="35" t="inlineStr">
        <is>
          <t>DRV_50</t>
        </is>
      </c>
      <c r="C133" s="35" t="inlineStr">
        <is>
          <t>Pangkalan Jati Baru</t>
        </is>
      </c>
      <c r="D133" s="35" t="inlineStr">
        <is>
          <t>Dedicated LM 2W</t>
        </is>
      </c>
      <c r="E133" s="35" t="n">
        <v>130</v>
      </c>
      <c r="F133" s="35" t="n">
        <v>130</v>
      </c>
      <c r="G133" s="35" t="n">
        <v>0</v>
      </c>
      <c r="H133" s="35" t="n">
        <v>0</v>
      </c>
      <c r="I133" s="35" t="n">
        <f>E133-SUM(F133:H133)</f>
        <v>0</v>
      </c>
      <c r="J133" s="36" t="n">
        <f>IFERROR(F133/E133,0)</f>
        <v>1</v>
      </c>
    </row>
    <row r="134">
      <c r="A134" s="34" t="n">
        <v>46298</v>
      </c>
      <c r="B134" s="35" t="inlineStr">
        <is>
          <t>DRV_51</t>
        </is>
      </c>
      <c r="C134" s="35" t="inlineStr">
        <is>
          <t>GANDUL</t>
        </is>
      </c>
      <c r="D134" s="35" t="inlineStr">
        <is>
          <t>Mitra LM 2W</t>
        </is>
      </c>
      <c r="E134" s="35" t="n">
        <v>106</v>
      </c>
      <c r="F134" s="35" t="n">
        <v>106</v>
      </c>
      <c r="G134" s="35" t="n">
        <v>0</v>
      </c>
      <c r="H134" s="35" t="n">
        <v>0</v>
      </c>
      <c r="I134" s="35" t="n">
        <f>E134-SUM(F134:H134)</f>
        <v>0</v>
      </c>
      <c r="J134" s="36" t="n">
        <f>IFERROR(F134/E134,0)</f>
        <v>1</v>
      </c>
    </row>
    <row r="135">
      <c r="A135" s="34" t="n">
        <v>46298</v>
      </c>
      <c r="B135" s="35" t="inlineStr">
        <is>
          <t>DRV_52</t>
        </is>
      </c>
      <c r="C135" s="35" t="inlineStr">
        <is>
          <t>Grogol</t>
        </is>
      </c>
      <c r="D135" s="35" t="inlineStr">
        <is>
          <t>Dedicated LM 2W</t>
        </is>
      </c>
      <c r="E135" s="35" t="n">
        <v>123</v>
      </c>
      <c r="F135" s="35" t="n">
        <v>123</v>
      </c>
      <c r="G135" s="35" t="n">
        <v>0</v>
      </c>
      <c r="H135" s="35" t="n">
        <v>0</v>
      </c>
      <c r="I135" s="35" t="n">
        <f>E135-SUM(F135:H135)</f>
        <v>0</v>
      </c>
      <c r="J135" s="36" t="n">
        <f>IFERROR(F135/E135,0)</f>
        <v>1</v>
      </c>
    </row>
    <row r="136">
      <c r="A136" s="34" t="n">
        <v>46298</v>
      </c>
      <c r="B136" s="35" t="inlineStr">
        <is>
          <t>DRV_54</t>
        </is>
      </c>
      <c r="C136" s="35" t="inlineStr">
        <is>
          <t>GANDUL</t>
        </is>
      </c>
      <c r="D136" s="35" t="inlineStr">
        <is>
          <t>Dedicated LM 2W</t>
        </is>
      </c>
      <c r="E136" s="35" t="n">
        <v>156</v>
      </c>
      <c r="F136" s="35" t="n">
        <v>156</v>
      </c>
      <c r="G136" s="35" t="n">
        <v>0</v>
      </c>
      <c r="H136" s="35" t="n">
        <v>0</v>
      </c>
      <c r="I136" s="35" t="n">
        <f>E136-SUM(F136:H136)</f>
        <v>0</v>
      </c>
      <c r="J136" s="36" t="n">
        <f>IFERROR(F136/E136,0)</f>
        <v>1</v>
      </c>
    </row>
    <row r="137">
      <c r="A137" s="34" t="n">
        <v>46298</v>
      </c>
      <c r="B137" s="35" t="inlineStr">
        <is>
          <t>DRV_55</t>
        </is>
      </c>
      <c r="C137" s="35" t="inlineStr">
        <is>
          <t>CINERE</t>
        </is>
      </c>
      <c r="D137" s="35" t="inlineStr">
        <is>
          <t>Mitra LM 2W</t>
        </is>
      </c>
      <c r="E137" s="35" t="n">
        <v>125</v>
      </c>
      <c r="F137" s="35" t="n">
        <v>125</v>
      </c>
      <c r="G137" s="35" t="n">
        <v>0</v>
      </c>
      <c r="H137" s="35" t="n">
        <v>0</v>
      </c>
      <c r="I137" s="35" t="n">
        <f>E137-SUM(F137:H137)</f>
        <v>0</v>
      </c>
      <c r="J137" s="36" t="n">
        <f>IFERROR(F137/E137,0)</f>
        <v>1</v>
      </c>
    </row>
    <row r="138">
      <c r="A138" s="34" t="n">
        <v>46298</v>
      </c>
      <c r="B138" s="35" t="inlineStr">
        <is>
          <t>DRV_56</t>
        </is>
      </c>
      <c r="C138" s="35" t="inlineStr">
        <is>
          <t>Pangkalan Jati Baru</t>
        </is>
      </c>
      <c r="D138" s="35" t="inlineStr">
        <is>
          <t>Mitra LM 2W</t>
        </is>
      </c>
      <c r="E138" s="35" t="n">
        <v>94</v>
      </c>
      <c r="F138" s="35" t="n">
        <v>94</v>
      </c>
      <c r="G138" s="35" t="n">
        <v>0</v>
      </c>
      <c r="H138" s="35" t="n">
        <v>0</v>
      </c>
      <c r="I138" s="35" t="n">
        <f>E138-SUM(F138:H138)</f>
        <v>0</v>
      </c>
      <c r="J138" s="36" t="n">
        <f>IFERROR(F138/E138,0)</f>
        <v>1</v>
      </c>
    </row>
    <row r="139">
      <c r="A139" s="34" t="n">
        <v>46298</v>
      </c>
      <c r="B139" s="35" t="inlineStr">
        <is>
          <t>DRV_57</t>
        </is>
      </c>
      <c r="C139" s="35" t="inlineStr">
        <is>
          <t>Pangkalan Jati Lama</t>
        </is>
      </c>
      <c r="D139" s="35" t="inlineStr">
        <is>
          <t>Mitra LM 2W</t>
        </is>
      </c>
      <c r="E139" s="35" t="n">
        <v>67</v>
      </c>
      <c r="F139" s="35" t="n">
        <v>67</v>
      </c>
      <c r="G139" s="35" t="n">
        <v>0</v>
      </c>
      <c r="H139" s="35" t="n">
        <v>0</v>
      </c>
      <c r="I139" s="35" t="n">
        <f>E139-SUM(F139:H139)</f>
        <v>0</v>
      </c>
      <c r="J139" s="36" t="n">
        <f>IFERROR(F139/E139,0)</f>
        <v>1</v>
      </c>
    </row>
    <row r="140">
      <c r="A140" s="34" t="n">
        <v>46299</v>
      </c>
      <c r="B140" s="35" t="inlineStr">
        <is>
          <t>DRV_02</t>
        </is>
      </c>
      <c r="C140" s="35" t="inlineStr">
        <is>
          <t>Grogol</t>
        </is>
      </c>
      <c r="D140" s="35" t="inlineStr">
        <is>
          <t>Mitra LM 2W</t>
        </is>
      </c>
      <c r="E140" s="35" t="n">
        <v>74</v>
      </c>
      <c r="F140" s="35" t="n">
        <v>74</v>
      </c>
      <c r="G140" s="35" t="n">
        <v>0</v>
      </c>
      <c r="H140" s="35" t="n">
        <v>0</v>
      </c>
      <c r="I140" s="35" t="n">
        <f>E140-SUM(F140:H140)</f>
        <v>0</v>
      </c>
      <c r="J140" s="36" t="n">
        <f>IFERROR(F140/E140,0)</f>
        <v>1</v>
      </c>
    </row>
    <row r="141">
      <c r="A141" s="34" t="n">
        <v>46299</v>
      </c>
      <c r="B141" s="35" t="inlineStr">
        <is>
          <t>DRV_03</t>
        </is>
      </c>
      <c r="C141" s="35" t="inlineStr">
        <is>
          <t>GANDUL</t>
        </is>
      </c>
      <c r="D141" s="35" t="inlineStr">
        <is>
          <t>Mitra LM 2W</t>
        </is>
      </c>
      <c r="E141" s="35" t="n">
        <v>109</v>
      </c>
      <c r="F141" s="35" t="n">
        <v>109</v>
      </c>
      <c r="G141" s="35" t="n">
        <v>0</v>
      </c>
      <c r="H141" s="35" t="n">
        <v>0</v>
      </c>
      <c r="I141" s="35" t="n">
        <f>E141-SUM(F141:H141)</f>
        <v>0</v>
      </c>
      <c r="J141" s="36" t="n">
        <f>IFERROR(F141/E141,0)</f>
        <v>1</v>
      </c>
    </row>
    <row r="142">
      <c r="A142" s="34" t="n">
        <v>46299</v>
      </c>
      <c r="B142" s="35" t="inlineStr">
        <is>
          <t>DRV_04</t>
        </is>
      </c>
      <c r="C142" s="35" t="inlineStr">
        <is>
          <t>Limo</t>
        </is>
      </c>
      <c r="D142" s="35" t="inlineStr">
        <is>
          <t>Mitra LM 2W</t>
        </is>
      </c>
      <c r="E142" s="35" t="n">
        <v>69</v>
      </c>
      <c r="F142" s="35" t="n">
        <v>69</v>
      </c>
      <c r="G142" s="35" t="n">
        <v>0</v>
      </c>
      <c r="H142" s="35" t="n">
        <v>0</v>
      </c>
      <c r="I142" s="35" t="n">
        <f>E142-SUM(F142:H142)</f>
        <v>0</v>
      </c>
      <c r="J142" s="36" t="n">
        <f>IFERROR(F142/E142,0)</f>
        <v>1</v>
      </c>
    </row>
    <row r="143">
      <c r="A143" s="34" t="n">
        <v>46299</v>
      </c>
      <c r="B143" s="35" t="inlineStr">
        <is>
          <t>DRV_05</t>
        </is>
      </c>
      <c r="C143" s="35" t="inlineStr">
        <is>
          <t>GANDUL</t>
        </is>
      </c>
      <c r="D143" s="35" t="inlineStr">
        <is>
          <t>Mitra LM 2W</t>
        </is>
      </c>
      <c r="E143" s="35" t="n">
        <v>49</v>
      </c>
      <c r="F143" s="35" t="n">
        <v>49</v>
      </c>
      <c r="G143" s="35" t="n">
        <v>0</v>
      </c>
      <c r="H143" s="35" t="n">
        <v>0</v>
      </c>
      <c r="I143" s="35" t="n">
        <f>E143-SUM(F143:H143)</f>
        <v>0</v>
      </c>
      <c r="J143" s="36" t="n">
        <f>IFERROR(F143/E143,0)</f>
        <v>1</v>
      </c>
    </row>
    <row r="144">
      <c r="A144" s="34" t="n">
        <v>46299</v>
      </c>
      <c r="B144" s="35" t="inlineStr">
        <is>
          <t>DRV_06</t>
        </is>
      </c>
      <c r="C144" s="35" t="inlineStr">
        <is>
          <t>Grogol</t>
        </is>
      </c>
      <c r="D144" s="35" t="inlineStr">
        <is>
          <t>Mitra LM 2W</t>
        </is>
      </c>
      <c r="E144" s="35" t="n">
        <v>133</v>
      </c>
      <c r="F144" s="35" t="n">
        <v>133</v>
      </c>
      <c r="G144" s="35" t="n">
        <v>0</v>
      </c>
      <c r="H144" s="35" t="n">
        <v>0</v>
      </c>
      <c r="I144" s="35" t="n">
        <f>E144-SUM(F144:H144)</f>
        <v>0</v>
      </c>
      <c r="J144" s="36" t="n">
        <f>IFERROR(F144/E144,0)</f>
        <v>1</v>
      </c>
    </row>
    <row r="145">
      <c r="A145" s="34" t="n">
        <v>46299</v>
      </c>
      <c r="B145" s="35" t="inlineStr">
        <is>
          <t>DRV_07</t>
        </is>
      </c>
      <c r="C145" s="35" t="inlineStr">
        <is>
          <t>CINERE</t>
        </is>
      </c>
      <c r="D145" s="35" t="inlineStr">
        <is>
          <t>Mitra LM 2W</t>
        </is>
      </c>
      <c r="E145" s="35" t="n">
        <v>120</v>
      </c>
      <c r="F145" s="35" t="n">
        <v>120</v>
      </c>
      <c r="G145" s="35" t="n">
        <v>0</v>
      </c>
      <c r="H145" s="35" t="n">
        <v>0</v>
      </c>
      <c r="I145" s="35" t="n">
        <f>E145-SUM(F145:H145)</f>
        <v>0</v>
      </c>
      <c r="J145" s="36" t="n">
        <f>IFERROR(F145/E145,0)</f>
        <v>1</v>
      </c>
    </row>
    <row r="146">
      <c r="A146" s="34" t="n">
        <v>46299</v>
      </c>
      <c r="B146" s="35" t="inlineStr">
        <is>
          <t>DRV_10</t>
        </is>
      </c>
      <c r="C146" s="35" t="inlineStr">
        <is>
          <t>Meruyung</t>
        </is>
      </c>
      <c r="D146" s="35" t="inlineStr">
        <is>
          <t>Mitra LM 2W</t>
        </is>
      </c>
      <c r="E146" s="35" t="n">
        <v>127</v>
      </c>
      <c r="F146" s="35" t="n">
        <v>127</v>
      </c>
      <c r="G146" s="35" t="n">
        <v>0</v>
      </c>
      <c r="H146" s="35" t="n">
        <v>0</v>
      </c>
      <c r="I146" s="35" t="n">
        <f>E146-SUM(F146:H146)</f>
        <v>0</v>
      </c>
      <c r="J146" s="36" t="n">
        <f>IFERROR(F146/E146,0)</f>
        <v>1</v>
      </c>
    </row>
    <row r="147">
      <c r="A147" s="34" t="n">
        <v>46299</v>
      </c>
      <c r="B147" s="35" t="inlineStr">
        <is>
          <t>DRV_12</t>
        </is>
      </c>
      <c r="C147" s="35" t="inlineStr">
        <is>
          <t>Pangkalan Jati Baru</t>
        </is>
      </c>
      <c r="D147" s="35" t="inlineStr">
        <is>
          <t>Mitra LM 2W</t>
        </is>
      </c>
      <c r="E147" s="35" t="n">
        <v>131</v>
      </c>
      <c r="F147" s="35" t="n">
        <v>131</v>
      </c>
      <c r="G147" s="35" t="n">
        <v>0</v>
      </c>
      <c r="H147" s="35" t="n">
        <v>0</v>
      </c>
      <c r="I147" s="35" t="n">
        <f>E147-SUM(F147:H147)</f>
        <v>0</v>
      </c>
      <c r="J147" s="36" t="n">
        <f>IFERROR(F147/E147,0)</f>
        <v>1</v>
      </c>
    </row>
    <row r="148">
      <c r="A148" s="34" t="n">
        <v>46299</v>
      </c>
      <c r="B148" s="35" t="inlineStr">
        <is>
          <t>DRV_13</t>
        </is>
      </c>
      <c r="C148" s="35" t="inlineStr">
        <is>
          <t>CINERE</t>
        </is>
      </c>
      <c r="D148" s="35" t="inlineStr">
        <is>
          <t>Mitra LM 2W</t>
        </is>
      </c>
      <c r="E148" s="35" t="n">
        <v>94</v>
      </c>
      <c r="F148" s="35" t="n">
        <v>94</v>
      </c>
      <c r="G148" s="35" t="n">
        <v>0</v>
      </c>
      <c r="H148" s="35" t="n">
        <v>0</v>
      </c>
      <c r="I148" s="35" t="n">
        <f>E148-SUM(F148:H148)</f>
        <v>0</v>
      </c>
      <c r="J148" s="36" t="n">
        <f>IFERROR(F148/E148,0)</f>
        <v>1</v>
      </c>
    </row>
    <row r="149">
      <c r="A149" s="34" t="n">
        <v>46299</v>
      </c>
      <c r="B149" s="35" t="inlineStr">
        <is>
          <t>DRV_17</t>
        </is>
      </c>
      <c r="C149" s="35" t="inlineStr">
        <is>
          <t>Krukut</t>
        </is>
      </c>
      <c r="D149" s="35" t="inlineStr">
        <is>
          <t>Dedicated LM 2W</t>
        </is>
      </c>
      <c r="E149" s="35" t="n">
        <v>142</v>
      </c>
      <c r="F149" s="35" t="n">
        <v>142</v>
      </c>
      <c r="G149" s="35" t="n">
        <v>0</v>
      </c>
      <c r="H149" s="35" t="n">
        <v>0</v>
      </c>
      <c r="I149" s="35" t="n">
        <f>E149-SUM(F149:H149)</f>
        <v>0</v>
      </c>
      <c r="J149" s="36" t="n">
        <f>IFERROR(F149/E149,0)</f>
        <v>1</v>
      </c>
    </row>
    <row r="150">
      <c r="A150" s="34" t="n">
        <v>46299</v>
      </c>
      <c r="B150" s="35" t="inlineStr">
        <is>
          <t>DRV_20</t>
        </is>
      </c>
      <c r="C150" s="35" t="inlineStr">
        <is>
          <t>Krukut</t>
        </is>
      </c>
      <c r="D150" s="35" t="inlineStr">
        <is>
          <t>Mitra LM 2W</t>
        </is>
      </c>
      <c r="E150" s="35" t="n">
        <v>57</v>
      </c>
      <c r="F150" s="35" t="n">
        <v>57</v>
      </c>
      <c r="G150" s="35" t="n">
        <v>0</v>
      </c>
      <c r="H150" s="35" t="n">
        <v>0</v>
      </c>
      <c r="I150" s="35" t="n">
        <f>E150-SUM(F150:H150)</f>
        <v>0</v>
      </c>
      <c r="J150" s="36" t="n">
        <f>IFERROR(F150/E150,0)</f>
        <v>1</v>
      </c>
    </row>
    <row r="151">
      <c r="A151" s="34" t="n">
        <v>46299</v>
      </c>
      <c r="B151" s="35" t="inlineStr">
        <is>
          <t>DRV_21</t>
        </is>
      </c>
      <c r="C151" s="35" t="inlineStr">
        <is>
          <t>Grogol</t>
        </is>
      </c>
      <c r="D151" s="35" t="inlineStr">
        <is>
          <t>Dedicated LM 2W</t>
        </is>
      </c>
      <c r="E151" s="35" t="n">
        <v>124</v>
      </c>
      <c r="F151" s="35" t="n">
        <v>124</v>
      </c>
      <c r="G151" s="35" t="n">
        <v>0</v>
      </c>
      <c r="H151" s="35" t="n">
        <v>0</v>
      </c>
      <c r="I151" s="35" t="n">
        <f>E151-SUM(F151:H151)</f>
        <v>0</v>
      </c>
      <c r="J151" s="36" t="n">
        <f>IFERROR(F151/E151,0)</f>
        <v>1</v>
      </c>
    </row>
    <row r="152">
      <c r="A152" s="34" t="n">
        <v>46299</v>
      </c>
      <c r="B152" s="35" t="inlineStr">
        <is>
          <t>DRV_22</t>
        </is>
      </c>
      <c r="C152" s="35" t="inlineStr">
        <is>
          <t>Limo</t>
        </is>
      </c>
      <c r="D152" s="35" t="inlineStr">
        <is>
          <t>Mitra LM 2W</t>
        </is>
      </c>
      <c r="E152" s="35" t="n">
        <v>40</v>
      </c>
      <c r="F152" s="35" t="n">
        <v>40</v>
      </c>
      <c r="G152" s="35" t="n">
        <v>0</v>
      </c>
      <c r="H152" s="35" t="n">
        <v>0</v>
      </c>
      <c r="I152" s="35" t="n">
        <f>E152-SUM(F152:H152)</f>
        <v>0</v>
      </c>
      <c r="J152" s="36" t="n">
        <f>IFERROR(F152/E152,0)</f>
        <v>1</v>
      </c>
    </row>
    <row r="153">
      <c r="A153" s="34" t="n">
        <v>46299</v>
      </c>
      <c r="B153" s="35" t="inlineStr">
        <is>
          <t>DRV_23</t>
        </is>
      </c>
      <c r="C153" s="35" t="inlineStr">
        <is>
          <t>Meruyung</t>
        </is>
      </c>
      <c r="D153" s="35" t="inlineStr">
        <is>
          <t>Mitra LM 2W</t>
        </is>
      </c>
      <c r="E153" s="35" t="n">
        <v>113</v>
      </c>
      <c r="F153" s="35" t="n">
        <v>113</v>
      </c>
      <c r="G153" s="35" t="n">
        <v>0</v>
      </c>
      <c r="H153" s="35" t="n">
        <v>0</v>
      </c>
      <c r="I153" s="35" t="n">
        <f>E153-SUM(F153:H153)</f>
        <v>0</v>
      </c>
      <c r="J153" s="36" t="n">
        <f>IFERROR(F153/E153,0)</f>
        <v>1</v>
      </c>
    </row>
    <row r="154">
      <c r="A154" s="34" t="n">
        <v>46299</v>
      </c>
      <c r="B154" s="35" t="inlineStr">
        <is>
          <t>DRV_24</t>
        </is>
      </c>
      <c r="C154" s="35" t="inlineStr">
        <is>
          <t>GANDUL</t>
        </is>
      </c>
      <c r="D154" s="35" t="inlineStr">
        <is>
          <t>Mitra LM 2W</t>
        </is>
      </c>
      <c r="E154" s="35" t="n">
        <v>135</v>
      </c>
      <c r="F154" s="35" t="n">
        <v>135</v>
      </c>
      <c r="G154" s="35" t="n">
        <v>0</v>
      </c>
      <c r="H154" s="35" t="n">
        <v>0</v>
      </c>
      <c r="I154" s="35" t="n">
        <f>E154-SUM(F154:H154)</f>
        <v>0</v>
      </c>
      <c r="J154" s="36" t="n">
        <f>IFERROR(F154/E154,0)</f>
        <v>1</v>
      </c>
    </row>
    <row r="155">
      <c r="A155" s="34" t="n">
        <v>46299</v>
      </c>
      <c r="B155" s="35" t="inlineStr">
        <is>
          <t>DRV_25</t>
        </is>
      </c>
      <c r="C155" s="35" t="inlineStr">
        <is>
          <t>CINERE</t>
        </is>
      </c>
      <c r="D155" s="35" t="inlineStr">
        <is>
          <t>Mitra LM 2W</t>
        </is>
      </c>
      <c r="E155" s="35" t="n">
        <v>82</v>
      </c>
      <c r="F155" s="35" t="n">
        <v>82</v>
      </c>
      <c r="G155" s="35" t="n">
        <v>0</v>
      </c>
      <c r="H155" s="35" t="n">
        <v>0</v>
      </c>
      <c r="I155" s="35" t="n">
        <f>E155-SUM(F155:H155)</f>
        <v>0</v>
      </c>
      <c r="J155" s="36" t="n">
        <f>IFERROR(F155/E155,0)</f>
        <v>1</v>
      </c>
    </row>
    <row r="156">
      <c r="A156" s="34" t="n">
        <v>46299</v>
      </c>
      <c r="B156" s="35" t="inlineStr">
        <is>
          <t>DRV_27</t>
        </is>
      </c>
      <c r="C156" s="35" t="inlineStr">
        <is>
          <t>Grogol</t>
        </is>
      </c>
      <c r="D156" s="35" t="inlineStr">
        <is>
          <t>Mitra LM 2W</t>
        </is>
      </c>
      <c r="E156" s="35" t="n">
        <v>71</v>
      </c>
      <c r="F156" s="35" t="n">
        <v>71</v>
      </c>
      <c r="G156" s="35" t="n">
        <v>0</v>
      </c>
      <c r="H156" s="35" t="n">
        <v>0</v>
      </c>
      <c r="I156" s="35" t="n">
        <f>E156-SUM(F156:H156)</f>
        <v>0</v>
      </c>
      <c r="J156" s="36" t="n">
        <f>IFERROR(F156/E156,0)</f>
        <v>1</v>
      </c>
    </row>
    <row r="157">
      <c r="A157" s="34" t="n">
        <v>46299</v>
      </c>
      <c r="B157" s="35" t="inlineStr">
        <is>
          <t>DRV_28</t>
        </is>
      </c>
      <c r="C157" s="35" t="inlineStr">
        <is>
          <t>Pangkalan Jati Lama</t>
        </is>
      </c>
      <c r="D157" s="35" t="inlineStr">
        <is>
          <t>Mitra LM 2W</t>
        </is>
      </c>
      <c r="E157" s="35" t="n">
        <v>117</v>
      </c>
      <c r="F157" s="35" t="n">
        <v>117</v>
      </c>
      <c r="G157" s="35" t="n">
        <v>0</v>
      </c>
      <c r="H157" s="35" t="n">
        <v>0</v>
      </c>
      <c r="I157" s="35" t="n">
        <f>E157-SUM(F157:H157)</f>
        <v>0</v>
      </c>
      <c r="J157" s="36" t="n">
        <f>IFERROR(F157/E157,0)</f>
        <v>1</v>
      </c>
    </row>
    <row r="158">
      <c r="A158" s="34" t="n">
        <v>46299</v>
      </c>
      <c r="B158" s="35" t="inlineStr">
        <is>
          <t>DRV_29</t>
        </is>
      </c>
      <c r="C158" s="35" t="inlineStr">
        <is>
          <t>CINERE</t>
        </is>
      </c>
      <c r="D158" s="35" t="inlineStr">
        <is>
          <t>Mitra LM 2W</t>
        </is>
      </c>
      <c r="E158" s="35" t="n">
        <v>98</v>
      </c>
      <c r="F158" s="35" t="n">
        <v>98</v>
      </c>
      <c r="G158" s="35" t="n">
        <v>0</v>
      </c>
      <c r="H158" s="35" t="n">
        <v>0</v>
      </c>
      <c r="I158" s="35" t="n">
        <f>E158-SUM(F158:H158)</f>
        <v>0</v>
      </c>
      <c r="J158" s="36" t="n">
        <f>IFERROR(F158/E158,0)</f>
        <v>1</v>
      </c>
    </row>
    <row r="159">
      <c r="A159" s="34" t="n">
        <v>46299</v>
      </c>
      <c r="B159" s="35" t="inlineStr">
        <is>
          <t>DRV_30</t>
        </is>
      </c>
      <c r="C159" s="35" t="inlineStr">
        <is>
          <t>Meruyung</t>
        </is>
      </c>
      <c r="D159" s="35" t="inlineStr">
        <is>
          <t>Mitra LM 2W</t>
        </is>
      </c>
      <c r="E159" s="35" t="n">
        <v>131</v>
      </c>
      <c r="F159" s="35" t="n">
        <v>131</v>
      </c>
      <c r="G159" s="35" t="n">
        <v>0</v>
      </c>
      <c r="H159" s="35" t="n">
        <v>0</v>
      </c>
      <c r="I159" s="35" t="n">
        <f>E159-SUM(F159:H159)</f>
        <v>0</v>
      </c>
      <c r="J159" s="36" t="n">
        <f>IFERROR(F159/E159,0)</f>
        <v>1</v>
      </c>
    </row>
    <row r="160">
      <c r="A160" s="34" t="n">
        <v>46299</v>
      </c>
      <c r="B160" s="35" t="inlineStr">
        <is>
          <t>DRV_31</t>
        </is>
      </c>
      <c r="C160" s="35" t="inlineStr">
        <is>
          <t>Krukut</t>
        </is>
      </c>
      <c r="D160" s="35" t="inlineStr">
        <is>
          <t>Mitra LM 2W</t>
        </is>
      </c>
      <c r="E160" s="35" t="n">
        <v>120</v>
      </c>
      <c r="F160" s="35" t="n">
        <v>120</v>
      </c>
      <c r="G160" s="35" t="n">
        <v>0</v>
      </c>
      <c r="H160" s="35" t="n">
        <v>0</v>
      </c>
      <c r="I160" s="35" t="n">
        <f>E160-SUM(F160:H160)</f>
        <v>0</v>
      </c>
      <c r="J160" s="36" t="n">
        <f>IFERROR(F160/E160,0)</f>
        <v>1</v>
      </c>
    </row>
    <row r="161">
      <c r="A161" s="34" t="n">
        <v>46299</v>
      </c>
      <c r="B161" s="35" t="inlineStr">
        <is>
          <t>DRV_32</t>
        </is>
      </c>
      <c r="C161" s="35" t="inlineStr">
        <is>
          <t>CINERE</t>
        </is>
      </c>
      <c r="D161" s="35" t="inlineStr">
        <is>
          <t>Mitra LM 2W</t>
        </is>
      </c>
      <c r="E161" s="35" t="n">
        <v>134</v>
      </c>
      <c r="F161" s="35" t="n">
        <v>134</v>
      </c>
      <c r="G161" s="35" t="n">
        <v>0</v>
      </c>
      <c r="H161" s="35" t="n">
        <v>0</v>
      </c>
      <c r="I161" s="35" t="n">
        <f>E161-SUM(F161:H161)</f>
        <v>0</v>
      </c>
      <c r="J161" s="36" t="n">
        <f>IFERROR(F161/E161,0)</f>
        <v>1</v>
      </c>
    </row>
    <row r="162">
      <c r="A162" s="34" t="n">
        <v>46299</v>
      </c>
      <c r="B162" s="35" t="inlineStr">
        <is>
          <t>DRV_34</t>
        </is>
      </c>
      <c r="C162" s="35" t="inlineStr">
        <is>
          <t>Limo</t>
        </is>
      </c>
      <c r="D162" s="35" t="inlineStr">
        <is>
          <t>Mitra LM 2W</t>
        </is>
      </c>
      <c r="E162" s="35" t="n">
        <v>93</v>
      </c>
      <c r="F162" s="35" t="n">
        <v>93</v>
      </c>
      <c r="G162" s="35" t="n">
        <v>0</v>
      </c>
      <c r="H162" s="35" t="n">
        <v>0</v>
      </c>
      <c r="I162" s="35" t="n">
        <f>E162-SUM(F162:H162)</f>
        <v>0</v>
      </c>
      <c r="J162" s="36" t="n">
        <f>IFERROR(F162/E162,0)</f>
        <v>1</v>
      </c>
    </row>
    <row r="163">
      <c r="A163" s="34" t="n">
        <v>46299</v>
      </c>
      <c r="B163" s="35" t="inlineStr">
        <is>
          <t>DRV_35</t>
        </is>
      </c>
      <c r="C163" s="35" t="inlineStr">
        <is>
          <t>CINERE</t>
        </is>
      </c>
      <c r="D163" s="35" t="inlineStr">
        <is>
          <t>Dedicated LM 2W</t>
        </is>
      </c>
      <c r="E163" s="35" t="n">
        <v>126</v>
      </c>
      <c r="F163" s="35" t="n">
        <v>126</v>
      </c>
      <c r="G163" s="35" t="n">
        <v>0</v>
      </c>
      <c r="H163" s="35" t="n">
        <v>0</v>
      </c>
      <c r="I163" s="35" t="n">
        <f>E163-SUM(F163:H163)</f>
        <v>0</v>
      </c>
      <c r="J163" s="36" t="n">
        <f>IFERROR(F163/E163,0)</f>
        <v>1</v>
      </c>
    </row>
    <row r="164">
      <c r="A164" s="34" t="n">
        <v>46299</v>
      </c>
      <c r="B164" s="35" t="inlineStr">
        <is>
          <t>DRV_36</t>
        </is>
      </c>
      <c r="C164" s="35" t="inlineStr">
        <is>
          <t>CINERE</t>
        </is>
      </c>
      <c r="D164" s="35" t="inlineStr">
        <is>
          <t>Mitra LM 2W</t>
        </is>
      </c>
      <c r="E164" s="35" t="n">
        <v>152</v>
      </c>
      <c r="F164" s="35" t="n">
        <v>152</v>
      </c>
      <c r="G164" s="35" t="n">
        <v>0</v>
      </c>
      <c r="H164" s="35" t="n">
        <v>0</v>
      </c>
      <c r="I164" s="35" t="n">
        <f>E164-SUM(F164:H164)</f>
        <v>0</v>
      </c>
      <c r="J164" s="36" t="n">
        <f>IFERROR(F164/E164,0)</f>
        <v>1</v>
      </c>
    </row>
    <row r="165">
      <c r="A165" s="34" t="n">
        <v>46299</v>
      </c>
      <c r="B165" s="35" t="inlineStr">
        <is>
          <t>DRV_37</t>
        </is>
      </c>
      <c r="C165" s="35" t="inlineStr">
        <is>
          <t>Grogol</t>
        </is>
      </c>
      <c r="D165" s="35" t="inlineStr">
        <is>
          <t>Mitra LM 2W</t>
        </is>
      </c>
      <c r="E165" s="35" t="n">
        <v>72</v>
      </c>
      <c r="F165" s="35" t="n">
        <v>72</v>
      </c>
      <c r="G165" s="35" t="n">
        <v>0</v>
      </c>
      <c r="H165" s="35" t="n">
        <v>0</v>
      </c>
      <c r="I165" s="35" t="n">
        <f>E165-SUM(F165:H165)</f>
        <v>0</v>
      </c>
      <c r="J165" s="36" t="n">
        <f>IFERROR(F165/E165,0)</f>
        <v>1</v>
      </c>
    </row>
    <row r="166">
      <c r="A166" s="34" t="n">
        <v>46299</v>
      </c>
      <c r="B166" s="35" t="inlineStr">
        <is>
          <t>DRV_39</t>
        </is>
      </c>
      <c r="C166" s="35" t="inlineStr">
        <is>
          <t>Pangkalan Jati Lama</t>
        </is>
      </c>
      <c r="D166" s="35" t="inlineStr">
        <is>
          <t>Dedicated LM 2W</t>
        </is>
      </c>
      <c r="E166" s="35" t="n">
        <v>122</v>
      </c>
      <c r="F166" s="35" t="n">
        <v>122</v>
      </c>
      <c r="G166" s="35" t="n">
        <v>0</v>
      </c>
      <c r="H166" s="35" t="n">
        <v>0</v>
      </c>
      <c r="I166" s="35" t="n">
        <f>E166-SUM(F166:H166)</f>
        <v>0</v>
      </c>
      <c r="J166" s="36" t="n">
        <f>IFERROR(F166/E166,0)</f>
        <v>1</v>
      </c>
    </row>
    <row r="167">
      <c r="A167" s="34" t="n">
        <v>46299</v>
      </c>
      <c r="B167" s="35" t="inlineStr">
        <is>
          <t>DRV_40</t>
        </is>
      </c>
      <c r="C167" s="35" t="inlineStr">
        <is>
          <t>Grogol</t>
        </is>
      </c>
      <c r="D167" s="35" t="inlineStr">
        <is>
          <t>Dedicated LM 2W</t>
        </is>
      </c>
      <c r="E167" s="35" t="n">
        <v>120</v>
      </c>
      <c r="F167" s="35" t="n">
        <v>120</v>
      </c>
      <c r="G167" s="35" t="n">
        <v>0</v>
      </c>
      <c r="H167" s="35" t="n">
        <v>0</v>
      </c>
      <c r="I167" s="35" t="n">
        <f>E167-SUM(F167:H167)</f>
        <v>0</v>
      </c>
      <c r="J167" s="36" t="n">
        <f>IFERROR(F167/E167,0)</f>
        <v>1</v>
      </c>
    </row>
    <row r="168">
      <c r="A168" s="34" t="n">
        <v>46299</v>
      </c>
      <c r="B168" s="35" t="inlineStr">
        <is>
          <t>DRV_42</t>
        </is>
      </c>
      <c r="C168" s="35" t="inlineStr">
        <is>
          <t>Grogol</t>
        </is>
      </c>
      <c r="D168" s="35" t="inlineStr">
        <is>
          <t>Mitra LM 2W</t>
        </is>
      </c>
      <c r="E168" s="35" t="n">
        <v>74</v>
      </c>
      <c r="F168" s="35" t="n">
        <v>74</v>
      </c>
      <c r="G168" s="35" t="n">
        <v>0</v>
      </c>
      <c r="H168" s="35" t="n">
        <v>0</v>
      </c>
      <c r="I168" s="35" t="n">
        <f>E168-SUM(F168:H168)</f>
        <v>0</v>
      </c>
      <c r="J168" s="36" t="n">
        <f>IFERROR(F168/E168,0)</f>
        <v>1</v>
      </c>
    </row>
    <row r="169">
      <c r="A169" s="34" t="n">
        <v>46299</v>
      </c>
      <c r="B169" s="35" t="inlineStr">
        <is>
          <t>DRV_43</t>
        </is>
      </c>
      <c r="C169" s="35" t="inlineStr">
        <is>
          <t>Meruyung</t>
        </is>
      </c>
      <c r="D169" s="35" t="inlineStr">
        <is>
          <t>Mitra LM 2W</t>
        </is>
      </c>
      <c r="E169" s="35" t="n">
        <v>158</v>
      </c>
      <c r="F169" s="35" t="n">
        <v>158</v>
      </c>
      <c r="G169" s="35" t="n">
        <v>0</v>
      </c>
      <c r="H169" s="35" t="n">
        <v>0</v>
      </c>
      <c r="I169" s="35" t="n">
        <f>E169-SUM(F169:H169)</f>
        <v>0</v>
      </c>
      <c r="J169" s="36" t="n">
        <f>IFERROR(F169/E169,0)</f>
        <v>1</v>
      </c>
    </row>
    <row r="170">
      <c r="A170" s="34" t="n">
        <v>46299</v>
      </c>
      <c r="B170" s="35" t="inlineStr">
        <is>
          <t>DRV_45</t>
        </is>
      </c>
      <c r="C170" s="35" t="inlineStr">
        <is>
          <t>Krukut</t>
        </is>
      </c>
      <c r="D170" s="35" t="inlineStr">
        <is>
          <t>Mitra LM 2W</t>
        </is>
      </c>
      <c r="E170" s="35" t="n">
        <v>101</v>
      </c>
      <c r="F170" s="35" t="n">
        <v>101</v>
      </c>
      <c r="G170" s="35" t="n">
        <v>0</v>
      </c>
      <c r="H170" s="35" t="n">
        <v>0</v>
      </c>
      <c r="I170" s="35" t="n">
        <f>E170-SUM(F170:H170)</f>
        <v>0</v>
      </c>
      <c r="J170" s="36" t="n">
        <f>IFERROR(F170/E170,0)</f>
        <v>1</v>
      </c>
    </row>
    <row r="171">
      <c r="A171" s="34" t="n">
        <v>46299</v>
      </c>
      <c r="B171" s="35" t="inlineStr">
        <is>
          <t>DRV_46</t>
        </is>
      </c>
      <c r="C171" s="35" t="inlineStr">
        <is>
          <t>Pangkalan Jati Lama</t>
        </is>
      </c>
      <c r="D171" s="35" t="inlineStr">
        <is>
          <t>Mitra LM 2W</t>
        </is>
      </c>
      <c r="E171" s="35" t="n">
        <v>77</v>
      </c>
      <c r="F171" s="35" t="n">
        <v>77</v>
      </c>
      <c r="G171" s="35" t="n">
        <v>0</v>
      </c>
      <c r="H171" s="35" t="n">
        <v>0</v>
      </c>
      <c r="I171" s="35" t="n">
        <f>E171-SUM(F171:H171)</f>
        <v>0</v>
      </c>
      <c r="J171" s="36" t="n">
        <f>IFERROR(F171/E171,0)</f>
        <v>1</v>
      </c>
    </row>
    <row r="172">
      <c r="A172" s="34" t="n">
        <v>46299</v>
      </c>
      <c r="B172" s="35" t="inlineStr">
        <is>
          <t>DRV_47</t>
        </is>
      </c>
      <c r="C172" s="35" t="inlineStr">
        <is>
          <t>Limo</t>
        </is>
      </c>
      <c r="D172" s="35" t="inlineStr">
        <is>
          <t>Dedicated LM 2W</t>
        </is>
      </c>
      <c r="E172" s="35" t="n">
        <v>130</v>
      </c>
      <c r="F172" s="35" t="n">
        <v>130</v>
      </c>
      <c r="G172" s="35" t="n">
        <v>0</v>
      </c>
      <c r="H172" s="35" t="n">
        <v>0</v>
      </c>
      <c r="I172" s="35" t="n">
        <f>E172-SUM(F172:H172)</f>
        <v>0</v>
      </c>
      <c r="J172" s="36" t="n">
        <f>IFERROR(F172/E172,0)</f>
        <v>1</v>
      </c>
    </row>
    <row r="173">
      <c r="A173" s="34" t="n">
        <v>46299</v>
      </c>
      <c r="B173" s="35" t="inlineStr">
        <is>
          <t>DRV_49</t>
        </is>
      </c>
      <c r="C173" s="35" t="inlineStr">
        <is>
          <t>Limo</t>
        </is>
      </c>
      <c r="D173" s="35" t="inlineStr">
        <is>
          <t>Mitra LM 2W</t>
        </is>
      </c>
      <c r="E173" s="35" t="n">
        <v>79</v>
      </c>
      <c r="F173" s="35" t="n">
        <v>79</v>
      </c>
      <c r="G173" s="35" t="n">
        <v>0</v>
      </c>
      <c r="H173" s="35" t="n">
        <v>0</v>
      </c>
      <c r="I173" s="35" t="n">
        <f>E173-SUM(F173:H173)</f>
        <v>0</v>
      </c>
      <c r="J173" s="36" t="n">
        <f>IFERROR(F173/E173,0)</f>
        <v>1</v>
      </c>
    </row>
    <row r="174">
      <c r="A174" s="34" t="n">
        <v>46299</v>
      </c>
      <c r="B174" s="35" t="inlineStr">
        <is>
          <t>DRV_50</t>
        </is>
      </c>
      <c r="C174" s="35" t="inlineStr">
        <is>
          <t>Pangkalan Jati Baru</t>
        </is>
      </c>
      <c r="D174" s="35" t="inlineStr">
        <is>
          <t>Dedicated LM 2W</t>
        </is>
      </c>
      <c r="E174" s="35" t="n">
        <v>155</v>
      </c>
      <c r="F174" s="35" t="n">
        <v>155</v>
      </c>
      <c r="G174" s="35" t="n">
        <v>0</v>
      </c>
      <c r="H174" s="35" t="n">
        <v>0</v>
      </c>
      <c r="I174" s="35" t="n">
        <f>E174-SUM(F174:H174)</f>
        <v>0</v>
      </c>
      <c r="J174" s="36" t="n">
        <f>IFERROR(F174/E174,0)</f>
        <v>1</v>
      </c>
    </row>
    <row r="175">
      <c r="A175" s="34" t="n">
        <v>46299</v>
      </c>
      <c r="B175" s="35" t="inlineStr">
        <is>
          <t>DRV_51</t>
        </is>
      </c>
      <c r="C175" s="35" t="inlineStr">
        <is>
          <t>GANDUL</t>
        </is>
      </c>
      <c r="D175" s="35" t="inlineStr">
        <is>
          <t>Mitra LM 2W</t>
        </is>
      </c>
      <c r="E175" s="35" t="n">
        <v>71</v>
      </c>
      <c r="F175" s="35" t="n">
        <v>71</v>
      </c>
      <c r="G175" s="35" t="n">
        <v>0</v>
      </c>
      <c r="H175" s="35" t="n">
        <v>0</v>
      </c>
      <c r="I175" s="35" t="n">
        <f>E175-SUM(F175:H175)</f>
        <v>0</v>
      </c>
      <c r="J175" s="36" t="n">
        <f>IFERROR(F175/E175,0)</f>
        <v>1</v>
      </c>
    </row>
    <row r="176">
      <c r="A176" s="34" t="n">
        <v>46299</v>
      </c>
      <c r="B176" s="35" t="inlineStr">
        <is>
          <t>DRV_52</t>
        </is>
      </c>
      <c r="C176" s="35" t="inlineStr">
        <is>
          <t>Grogol</t>
        </is>
      </c>
      <c r="D176" s="35" t="inlineStr">
        <is>
          <t>Dedicated LM 2W</t>
        </is>
      </c>
      <c r="E176" s="35" t="n">
        <v>124</v>
      </c>
      <c r="F176" s="35" t="n">
        <v>124</v>
      </c>
      <c r="G176" s="35" t="n">
        <v>0</v>
      </c>
      <c r="H176" s="35" t="n">
        <v>0</v>
      </c>
      <c r="I176" s="35" t="n">
        <f>E176-SUM(F176:H176)</f>
        <v>0</v>
      </c>
      <c r="J176" s="36" t="n">
        <f>IFERROR(F176/E176,0)</f>
        <v>1</v>
      </c>
    </row>
    <row r="177">
      <c r="A177" s="34" t="n">
        <v>46299</v>
      </c>
      <c r="B177" s="35" t="inlineStr">
        <is>
          <t>DRV_54</t>
        </is>
      </c>
      <c r="C177" s="35" t="inlineStr">
        <is>
          <t>GANDUL</t>
        </is>
      </c>
      <c r="D177" s="35" t="inlineStr">
        <is>
          <t>Dedicated LM 2W</t>
        </is>
      </c>
      <c r="E177" s="35" t="n">
        <v>121</v>
      </c>
      <c r="F177" s="35" t="n">
        <v>121</v>
      </c>
      <c r="G177" s="35" t="n">
        <v>0</v>
      </c>
      <c r="H177" s="35" t="n">
        <v>0</v>
      </c>
      <c r="I177" s="35" t="n">
        <f>E177-SUM(F177:H177)</f>
        <v>0</v>
      </c>
      <c r="J177" s="36" t="n">
        <f>IFERROR(F177/E177,0)</f>
        <v>1</v>
      </c>
    </row>
    <row r="178">
      <c r="A178" s="34" t="n">
        <v>46299</v>
      </c>
      <c r="B178" s="35" t="inlineStr">
        <is>
          <t>DRV_56</t>
        </is>
      </c>
      <c r="C178" s="35" t="inlineStr">
        <is>
          <t>Pangkalan Jati Baru</t>
        </is>
      </c>
      <c r="D178" s="35" t="inlineStr">
        <is>
          <t>Mitra LM 2W</t>
        </is>
      </c>
      <c r="E178" s="35" t="n">
        <v>90</v>
      </c>
      <c r="F178" s="35" t="n">
        <v>90</v>
      </c>
      <c r="G178" s="35" t="n">
        <v>0</v>
      </c>
      <c r="H178" s="35" t="n">
        <v>0</v>
      </c>
      <c r="I178" s="35" t="n">
        <f>E178-SUM(F178:H178)</f>
        <v>0</v>
      </c>
      <c r="J178" s="36" t="n">
        <f>IFERROR(F178/E178,0)</f>
        <v>1</v>
      </c>
    </row>
    <row r="179">
      <c r="A179" s="34" t="n">
        <v>46299</v>
      </c>
      <c r="B179" s="35" t="inlineStr">
        <is>
          <t>DRV_57</t>
        </is>
      </c>
      <c r="C179" s="35" t="inlineStr">
        <is>
          <t>Pangkalan Jati Lama</t>
        </is>
      </c>
      <c r="D179" s="35" t="inlineStr">
        <is>
          <t>Mitra LM 2W</t>
        </is>
      </c>
      <c r="E179" s="35" t="n">
        <v>86</v>
      </c>
      <c r="F179" s="35" t="n">
        <v>86</v>
      </c>
      <c r="G179" s="35" t="n">
        <v>0</v>
      </c>
      <c r="H179" s="35" t="n">
        <v>0</v>
      </c>
      <c r="I179" s="35" t="n">
        <f>E179-SUM(F179:H179)</f>
        <v>0</v>
      </c>
      <c r="J179" s="36" t="n">
        <f>IFERROR(F179/E179,0)</f>
        <v>1</v>
      </c>
    </row>
    <row r="180">
      <c r="A180" s="34" t="n">
        <v>46299</v>
      </c>
      <c r="B180" s="35" t="inlineStr">
        <is>
          <t>DRV_58</t>
        </is>
      </c>
      <c r="C180" s="35" t="inlineStr">
        <is>
          <t>Krukut</t>
        </is>
      </c>
      <c r="D180" s="35" t="inlineStr">
        <is>
          <t>Mitra LM 2W</t>
        </is>
      </c>
      <c r="E180" s="35" t="n">
        <v>101</v>
      </c>
      <c r="F180" s="35" t="n">
        <v>101</v>
      </c>
      <c r="G180" s="35" t="n">
        <v>0</v>
      </c>
      <c r="H180" s="35" t="n">
        <v>0</v>
      </c>
      <c r="I180" s="35" t="n">
        <f>E180-SUM(F180:H180)</f>
        <v>0</v>
      </c>
      <c r="J180" s="36" t="n">
        <f>IFERROR(F180/E180,0)</f>
        <v>1</v>
      </c>
    </row>
    <row r="181">
      <c r="A181" s="34" t="n">
        <v>46300</v>
      </c>
      <c r="B181" s="35" t="inlineStr">
        <is>
          <t>DRV_02</t>
        </is>
      </c>
      <c r="C181" s="35" t="inlineStr">
        <is>
          <t>Grogol</t>
        </is>
      </c>
      <c r="D181" s="35" t="inlineStr">
        <is>
          <t>Mitra LM 2W</t>
        </is>
      </c>
      <c r="E181" s="35" t="n">
        <v>208</v>
      </c>
      <c r="F181" s="35" t="n">
        <v>208</v>
      </c>
      <c r="G181" s="35" t="n">
        <v>0</v>
      </c>
      <c r="H181" s="35" t="n">
        <v>0</v>
      </c>
      <c r="I181" s="35" t="n">
        <f>E181-SUM(F181:H181)</f>
        <v>0</v>
      </c>
      <c r="J181" s="36" t="n">
        <f>IFERROR(F181/E181,0)</f>
        <v>1</v>
      </c>
    </row>
    <row r="182">
      <c r="A182" s="34" t="n">
        <v>46300</v>
      </c>
      <c r="B182" s="35" t="inlineStr">
        <is>
          <t>DRV_03</t>
        </is>
      </c>
      <c r="C182" s="35" t="inlineStr">
        <is>
          <t>GANDUL</t>
        </is>
      </c>
      <c r="D182" s="35" t="inlineStr">
        <is>
          <t>Mitra LM 2W</t>
        </is>
      </c>
      <c r="E182" s="35" t="n">
        <v>82</v>
      </c>
      <c r="F182" s="35" t="n">
        <v>82</v>
      </c>
      <c r="G182" s="35" t="n">
        <v>0</v>
      </c>
      <c r="H182" s="35" t="n">
        <v>0</v>
      </c>
      <c r="I182" s="35" t="n">
        <f>E182-SUM(F182:H182)</f>
        <v>0</v>
      </c>
      <c r="J182" s="36" t="n">
        <f>IFERROR(F182/E182,0)</f>
        <v>1</v>
      </c>
    </row>
    <row r="183">
      <c r="A183" s="34" t="n">
        <v>46300</v>
      </c>
      <c r="B183" s="35" t="inlineStr">
        <is>
          <t>DRV_04</t>
        </is>
      </c>
      <c r="C183" s="35" t="inlineStr">
        <is>
          <t>Limo</t>
        </is>
      </c>
      <c r="D183" s="35" t="inlineStr">
        <is>
          <t>Mitra LM 2W</t>
        </is>
      </c>
      <c r="E183" s="35" t="n">
        <v>117</v>
      </c>
      <c r="F183" s="35" t="n">
        <v>117</v>
      </c>
      <c r="G183" s="35" t="n">
        <v>0</v>
      </c>
      <c r="H183" s="35" t="n">
        <v>0</v>
      </c>
      <c r="I183" s="35" t="n">
        <f>E183-SUM(F183:H183)</f>
        <v>0</v>
      </c>
      <c r="J183" s="36" t="n">
        <f>IFERROR(F183/E183,0)</f>
        <v>1</v>
      </c>
    </row>
    <row r="184">
      <c r="A184" s="34" t="n">
        <v>46300</v>
      </c>
      <c r="B184" s="35" t="inlineStr">
        <is>
          <t>DRV_05</t>
        </is>
      </c>
      <c r="C184" s="35" t="inlineStr">
        <is>
          <t>GANDUL</t>
        </is>
      </c>
      <c r="D184" s="35" t="inlineStr">
        <is>
          <t>Mitra LM 2W</t>
        </is>
      </c>
      <c r="E184" s="35" t="n">
        <v>55</v>
      </c>
      <c r="F184" s="35" t="n">
        <v>55</v>
      </c>
      <c r="G184" s="35" t="n">
        <v>0</v>
      </c>
      <c r="H184" s="35" t="n">
        <v>0</v>
      </c>
      <c r="I184" s="35" t="n">
        <f>E184-SUM(F184:H184)</f>
        <v>0</v>
      </c>
      <c r="J184" s="36" t="n">
        <f>IFERROR(F184/E184,0)</f>
        <v>1</v>
      </c>
    </row>
    <row r="185">
      <c r="A185" s="34" t="n">
        <v>46300</v>
      </c>
      <c r="B185" s="35" t="inlineStr">
        <is>
          <t>DRV_07</t>
        </is>
      </c>
      <c r="C185" s="35" t="inlineStr">
        <is>
          <t>CINERE</t>
        </is>
      </c>
      <c r="D185" s="35" t="inlineStr">
        <is>
          <t>Mitra LM 2W</t>
        </is>
      </c>
      <c r="E185" s="35" t="n">
        <v>109</v>
      </c>
      <c r="F185" s="35" t="n">
        <v>109</v>
      </c>
      <c r="G185" s="35" t="n">
        <v>0</v>
      </c>
      <c r="H185" s="35" t="n">
        <v>0</v>
      </c>
      <c r="I185" s="35" t="n">
        <f>E185-SUM(F185:H185)</f>
        <v>0</v>
      </c>
      <c r="J185" s="36" t="n">
        <f>IFERROR(F185/E185,0)</f>
        <v>1</v>
      </c>
    </row>
    <row r="186">
      <c r="A186" s="34" t="n">
        <v>46300</v>
      </c>
      <c r="B186" s="35" t="inlineStr">
        <is>
          <t>DRV_08</t>
        </is>
      </c>
      <c r="C186" s="35" t="inlineStr">
        <is>
          <t>CINERE</t>
        </is>
      </c>
      <c r="D186" s="35" t="inlineStr">
        <is>
          <t>Mitra LM 2W</t>
        </is>
      </c>
      <c r="E186" s="35" t="n">
        <v>57</v>
      </c>
      <c r="F186" s="35" t="n">
        <v>57</v>
      </c>
      <c r="G186" s="35" t="n">
        <v>0</v>
      </c>
      <c r="H186" s="35" t="n">
        <v>0</v>
      </c>
      <c r="I186" s="35" t="n">
        <f>E186-SUM(F186:H186)</f>
        <v>0</v>
      </c>
      <c r="J186" s="36" t="n">
        <f>IFERROR(F186/E186,0)</f>
        <v>1</v>
      </c>
    </row>
    <row r="187">
      <c r="A187" s="34" t="n">
        <v>46300</v>
      </c>
      <c r="B187" s="35" t="inlineStr">
        <is>
          <t>DRV_12</t>
        </is>
      </c>
      <c r="C187" s="35" t="inlineStr">
        <is>
          <t>Pangkalan Jati Baru</t>
        </is>
      </c>
      <c r="D187" s="35" t="inlineStr">
        <is>
          <t>Mitra LM 2W</t>
        </is>
      </c>
      <c r="E187" s="35" t="n">
        <v>122</v>
      </c>
      <c r="F187" s="35" t="n">
        <v>122</v>
      </c>
      <c r="G187" s="35" t="n">
        <v>0</v>
      </c>
      <c r="H187" s="35" t="n">
        <v>0</v>
      </c>
      <c r="I187" s="35" t="n">
        <f>E187-SUM(F187:H187)</f>
        <v>0</v>
      </c>
      <c r="J187" s="36" t="n">
        <f>IFERROR(F187/E187,0)</f>
        <v>1</v>
      </c>
    </row>
    <row r="188">
      <c r="A188" s="34" t="n">
        <v>46300</v>
      </c>
      <c r="B188" s="35" t="inlineStr">
        <is>
          <t>DRV_14</t>
        </is>
      </c>
      <c r="C188" s="35" t="inlineStr">
        <is>
          <t>CINERE</t>
        </is>
      </c>
      <c r="D188" s="35" t="inlineStr">
        <is>
          <t>Dedicated LM 2W</t>
        </is>
      </c>
      <c r="E188" s="35" t="n">
        <v>101</v>
      </c>
      <c r="F188" s="35" t="n">
        <v>101</v>
      </c>
      <c r="G188" s="35" t="n">
        <v>0</v>
      </c>
      <c r="H188" s="35" t="n">
        <v>0</v>
      </c>
      <c r="I188" s="35" t="n">
        <f>E188-SUM(F188:H188)</f>
        <v>0</v>
      </c>
      <c r="J188" s="36" t="n">
        <f>IFERROR(F188/E188,0)</f>
        <v>1</v>
      </c>
    </row>
    <row r="189">
      <c r="A189" s="34" t="n">
        <v>46300</v>
      </c>
      <c r="B189" s="35" t="inlineStr">
        <is>
          <t>DRV_15</t>
        </is>
      </c>
      <c r="C189" s="35" t="inlineStr">
        <is>
          <t>Krukut</t>
        </is>
      </c>
      <c r="D189" s="35" t="inlineStr">
        <is>
          <t>Mitra LM 2W</t>
        </is>
      </c>
      <c r="E189" s="35" t="n">
        <v>110</v>
      </c>
      <c r="F189" s="35" t="n">
        <v>110</v>
      </c>
      <c r="G189" s="35" t="n">
        <v>0</v>
      </c>
      <c r="H189" s="35" t="n">
        <v>0</v>
      </c>
      <c r="I189" s="35" t="n">
        <f>E189-SUM(F189:H189)</f>
        <v>0</v>
      </c>
      <c r="J189" s="36" t="n">
        <f>IFERROR(F189/E189,0)</f>
        <v>1</v>
      </c>
    </row>
    <row r="190">
      <c r="A190" s="34" t="n">
        <v>46300</v>
      </c>
      <c r="B190" s="35" t="inlineStr">
        <is>
          <t>DRV_16</t>
        </is>
      </c>
      <c r="C190" s="35" t="inlineStr">
        <is>
          <t>Meruyung</t>
        </is>
      </c>
      <c r="D190" s="35" t="inlineStr">
        <is>
          <t>Mitra LM 2W</t>
        </is>
      </c>
      <c r="E190" s="35" t="n">
        <v>114</v>
      </c>
      <c r="F190" s="35" t="n">
        <v>114</v>
      </c>
      <c r="G190" s="35" t="n">
        <v>0</v>
      </c>
      <c r="H190" s="35" t="n">
        <v>0</v>
      </c>
      <c r="I190" s="35" t="n">
        <f>E190-SUM(F190:H190)</f>
        <v>0</v>
      </c>
      <c r="J190" s="36" t="n">
        <f>IFERROR(F190/E190,0)</f>
        <v>1</v>
      </c>
    </row>
    <row r="191">
      <c r="A191" s="34" t="n">
        <v>46300</v>
      </c>
      <c r="B191" s="35" t="inlineStr">
        <is>
          <t>DRV_19</t>
        </is>
      </c>
      <c r="C191" s="35" t="inlineStr">
        <is>
          <t>Meruyung</t>
        </is>
      </c>
      <c r="D191" s="35" t="inlineStr">
        <is>
          <t>Mitra LM 2W</t>
        </is>
      </c>
      <c r="E191" s="35" t="n">
        <v>102</v>
      </c>
      <c r="F191" s="35" t="n">
        <v>102</v>
      </c>
      <c r="G191" s="35" t="n">
        <v>0</v>
      </c>
      <c r="H191" s="35" t="n">
        <v>0</v>
      </c>
      <c r="I191" s="35" t="n">
        <f>E191-SUM(F191:H191)</f>
        <v>0</v>
      </c>
      <c r="J191" s="36" t="n">
        <f>IFERROR(F191/E191,0)</f>
        <v>1</v>
      </c>
    </row>
    <row r="192">
      <c r="A192" s="34" t="n">
        <v>46300</v>
      </c>
      <c r="B192" s="35" t="inlineStr">
        <is>
          <t>DRV_20</t>
        </is>
      </c>
      <c r="C192" s="35" t="inlineStr">
        <is>
          <t>Krukut</t>
        </is>
      </c>
      <c r="D192" s="35" t="inlineStr">
        <is>
          <t>Mitra LM 2W</t>
        </is>
      </c>
      <c r="E192" s="35" t="n">
        <v>97</v>
      </c>
      <c r="F192" s="35" t="n">
        <v>97</v>
      </c>
      <c r="G192" s="35" t="n">
        <v>0</v>
      </c>
      <c r="H192" s="35" t="n">
        <v>0</v>
      </c>
      <c r="I192" s="35" t="n">
        <f>E192-SUM(F192:H192)</f>
        <v>0</v>
      </c>
      <c r="J192" s="36" t="n">
        <f>IFERROR(F192/E192,0)</f>
        <v>1</v>
      </c>
    </row>
    <row r="193">
      <c r="A193" s="34" t="n">
        <v>46300</v>
      </c>
      <c r="B193" s="35" t="inlineStr">
        <is>
          <t>DRV_21</t>
        </is>
      </c>
      <c r="C193" s="35" t="inlineStr">
        <is>
          <t>Grogol</t>
        </is>
      </c>
      <c r="D193" s="35" t="inlineStr">
        <is>
          <t>Dedicated LM 2W</t>
        </is>
      </c>
      <c r="E193" s="35" t="n">
        <v>135</v>
      </c>
      <c r="F193" s="35" t="n">
        <v>135</v>
      </c>
      <c r="G193" s="35" t="n">
        <v>0</v>
      </c>
      <c r="H193" s="35" t="n">
        <v>0</v>
      </c>
      <c r="I193" s="35" t="n">
        <f>E193-SUM(F193:H193)</f>
        <v>0</v>
      </c>
      <c r="J193" s="36" t="n">
        <f>IFERROR(F193/E193,0)</f>
        <v>1</v>
      </c>
    </row>
    <row r="194">
      <c r="A194" s="34" t="n">
        <v>46300</v>
      </c>
      <c r="B194" s="35" t="inlineStr">
        <is>
          <t>DRV_23</t>
        </is>
      </c>
      <c r="C194" s="35" t="inlineStr">
        <is>
          <t>Meruyung</t>
        </is>
      </c>
      <c r="D194" s="35" t="inlineStr">
        <is>
          <t>Mitra LM 2W</t>
        </is>
      </c>
      <c r="E194" s="35" t="n">
        <v>71</v>
      </c>
      <c r="F194" s="35" t="n">
        <v>71</v>
      </c>
      <c r="G194" s="35" t="n">
        <v>0</v>
      </c>
      <c r="H194" s="35" t="n">
        <v>0</v>
      </c>
      <c r="I194" s="35" t="n">
        <f>E194-SUM(F194:H194)</f>
        <v>0</v>
      </c>
      <c r="J194" s="36" t="n">
        <f>IFERROR(F194/E194,0)</f>
        <v>1</v>
      </c>
    </row>
    <row r="195">
      <c r="A195" s="34" t="n">
        <v>46300</v>
      </c>
      <c r="B195" s="35" t="inlineStr">
        <is>
          <t>DRV_24</t>
        </is>
      </c>
      <c r="C195" s="35" t="inlineStr">
        <is>
          <t>GANDUL</t>
        </is>
      </c>
      <c r="D195" s="35" t="inlineStr">
        <is>
          <t>Mitra LM 2W</t>
        </is>
      </c>
      <c r="E195" s="35" t="n">
        <v>71</v>
      </c>
      <c r="F195" s="35" t="n">
        <v>71</v>
      </c>
      <c r="G195" s="35" t="n">
        <v>0</v>
      </c>
      <c r="H195" s="35" t="n">
        <v>0</v>
      </c>
      <c r="I195" s="35" t="n">
        <f>E195-SUM(F195:H195)</f>
        <v>0</v>
      </c>
      <c r="J195" s="36" t="n">
        <f>IFERROR(F195/E195,0)</f>
        <v>1</v>
      </c>
    </row>
    <row r="196">
      <c r="A196" s="34" t="n">
        <v>46300</v>
      </c>
      <c r="B196" s="35" t="inlineStr">
        <is>
          <t>DRV_26</t>
        </is>
      </c>
      <c r="C196" s="35" t="inlineStr">
        <is>
          <t>Pangkalan Jati Baru</t>
        </is>
      </c>
      <c r="D196" s="35" t="inlineStr">
        <is>
          <t>Mitra LM 2W</t>
        </is>
      </c>
      <c r="E196" s="35" t="n">
        <v>129</v>
      </c>
      <c r="F196" s="35" t="n">
        <v>129</v>
      </c>
      <c r="G196" s="35" t="n">
        <v>0</v>
      </c>
      <c r="H196" s="35" t="n">
        <v>0</v>
      </c>
      <c r="I196" s="35" t="n">
        <f>E196-SUM(F196:H196)</f>
        <v>0</v>
      </c>
      <c r="J196" s="36" t="n">
        <f>IFERROR(F196/E196,0)</f>
        <v>1</v>
      </c>
    </row>
    <row r="197">
      <c r="A197" s="34" t="n">
        <v>46300</v>
      </c>
      <c r="B197" s="35" t="inlineStr">
        <is>
          <t>DRV_27</t>
        </is>
      </c>
      <c r="C197" s="35" t="inlineStr">
        <is>
          <t>Grogol</t>
        </is>
      </c>
      <c r="D197" s="35" t="inlineStr">
        <is>
          <t>Mitra LM 2W</t>
        </is>
      </c>
      <c r="E197" s="35" t="n">
        <v>80</v>
      </c>
      <c r="F197" s="35" t="n">
        <v>80</v>
      </c>
      <c r="G197" s="35" t="n">
        <v>0</v>
      </c>
      <c r="H197" s="35" t="n">
        <v>0</v>
      </c>
      <c r="I197" s="35" t="n">
        <f>E197-SUM(F197:H197)</f>
        <v>0</v>
      </c>
      <c r="J197" s="36" t="n">
        <f>IFERROR(F197/E197,0)</f>
        <v>1</v>
      </c>
    </row>
    <row r="198">
      <c r="A198" s="34" t="n">
        <v>46300</v>
      </c>
      <c r="B198" s="35" t="inlineStr">
        <is>
          <t>DRV_29</t>
        </is>
      </c>
      <c r="C198" s="35" t="inlineStr">
        <is>
          <t>CINERE</t>
        </is>
      </c>
      <c r="D198" s="35" t="inlineStr">
        <is>
          <t>Mitra LM 2W</t>
        </is>
      </c>
      <c r="E198" s="35" t="n">
        <v>73</v>
      </c>
      <c r="F198" s="35" t="n">
        <v>73</v>
      </c>
      <c r="G198" s="35" t="n">
        <v>0</v>
      </c>
      <c r="H198" s="35" t="n">
        <v>0</v>
      </c>
      <c r="I198" s="35" t="n">
        <f>E198-SUM(F198:H198)</f>
        <v>0</v>
      </c>
      <c r="J198" s="36" t="n">
        <f>IFERROR(F198/E198,0)</f>
        <v>1</v>
      </c>
    </row>
    <row r="199">
      <c r="A199" s="34" t="n">
        <v>46300</v>
      </c>
      <c r="B199" s="35" t="inlineStr">
        <is>
          <t>DRV_30</t>
        </is>
      </c>
      <c r="C199" s="35" t="inlineStr">
        <is>
          <t>Meruyung</t>
        </is>
      </c>
      <c r="D199" s="35" t="inlineStr">
        <is>
          <t>Mitra LM 2W</t>
        </is>
      </c>
      <c r="E199" s="35" t="n">
        <v>98</v>
      </c>
      <c r="F199" s="35" t="n">
        <v>98</v>
      </c>
      <c r="G199" s="35" t="n">
        <v>0</v>
      </c>
      <c r="H199" s="35" t="n">
        <v>0</v>
      </c>
      <c r="I199" s="35" t="n">
        <f>E199-SUM(F199:H199)</f>
        <v>0</v>
      </c>
      <c r="J199" s="36" t="n">
        <f>IFERROR(F199/E199,0)</f>
        <v>1</v>
      </c>
    </row>
    <row r="200">
      <c r="A200" s="34" t="n">
        <v>46300</v>
      </c>
      <c r="B200" s="35" t="inlineStr">
        <is>
          <t>DRV_32</t>
        </is>
      </c>
      <c r="C200" s="35" t="inlineStr">
        <is>
          <t>CINERE</t>
        </is>
      </c>
      <c r="D200" s="35" t="inlineStr">
        <is>
          <t>Mitra LM 2W</t>
        </is>
      </c>
      <c r="E200" s="35" t="n">
        <v>75</v>
      </c>
      <c r="F200" s="35" t="n">
        <v>75</v>
      </c>
      <c r="G200" s="35" t="n">
        <v>0</v>
      </c>
      <c r="H200" s="35" t="n">
        <v>0</v>
      </c>
      <c r="I200" s="35" t="n">
        <f>E200-SUM(F200:H200)</f>
        <v>0</v>
      </c>
      <c r="J200" s="36" t="n">
        <f>IFERROR(F200/E200,0)</f>
        <v>1</v>
      </c>
    </row>
    <row r="201">
      <c r="A201" s="34" t="n">
        <v>46300</v>
      </c>
      <c r="B201" s="35" t="inlineStr">
        <is>
          <t>DRV_33</t>
        </is>
      </c>
      <c r="C201" s="35" t="inlineStr">
        <is>
          <t>CINERE</t>
        </is>
      </c>
      <c r="D201" s="35" t="inlineStr">
        <is>
          <t>Dedicated LM 2W</t>
        </is>
      </c>
      <c r="E201" s="35" t="n">
        <v>124</v>
      </c>
      <c r="F201" s="35" t="n">
        <v>124</v>
      </c>
      <c r="G201" s="35" t="n">
        <v>0</v>
      </c>
      <c r="H201" s="35" t="n">
        <v>0</v>
      </c>
      <c r="I201" s="35" t="n">
        <f>E201-SUM(F201:H201)</f>
        <v>0</v>
      </c>
      <c r="J201" s="36" t="n">
        <f>IFERROR(F201/E201,0)</f>
        <v>1</v>
      </c>
    </row>
    <row r="202">
      <c r="A202" s="34" t="n">
        <v>46300</v>
      </c>
      <c r="B202" s="35" t="inlineStr">
        <is>
          <t>DRV_34</t>
        </is>
      </c>
      <c r="C202" s="35" t="inlineStr">
        <is>
          <t>Limo</t>
        </is>
      </c>
      <c r="D202" s="35" t="inlineStr">
        <is>
          <t>Mitra LM 2W</t>
        </is>
      </c>
      <c r="E202" s="35" t="n">
        <v>95</v>
      </c>
      <c r="F202" s="35" t="n">
        <v>95</v>
      </c>
      <c r="G202" s="35" t="n">
        <v>0</v>
      </c>
      <c r="H202" s="35" t="n">
        <v>0</v>
      </c>
      <c r="I202" s="35" t="n">
        <f>E202-SUM(F202:H202)</f>
        <v>0</v>
      </c>
      <c r="J202" s="36" t="n">
        <f>IFERROR(F202/E202,0)</f>
        <v>1</v>
      </c>
    </row>
    <row r="203">
      <c r="A203" s="34" t="n">
        <v>46300</v>
      </c>
      <c r="B203" s="35" t="inlineStr">
        <is>
          <t>DRV_35</t>
        </is>
      </c>
      <c r="C203" s="35" t="inlineStr">
        <is>
          <t>CINERE</t>
        </is>
      </c>
      <c r="D203" s="35" t="inlineStr">
        <is>
          <t>Dedicated LM 2W</t>
        </is>
      </c>
      <c r="E203" s="35" t="n">
        <v>50</v>
      </c>
      <c r="F203" s="35" t="n">
        <v>50</v>
      </c>
      <c r="G203" s="35" t="n">
        <v>0</v>
      </c>
      <c r="H203" s="35" t="n">
        <v>0</v>
      </c>
      <c r="I203" s="35" t="n">
        <f>E203-SUM(F203:H203)</f>
        <v>0</v>
      </c>
      <c r="J203" s="36" t="n">
        <f>IFERROR(F203/E203,0)</f>
        <v>1</v>
      </c>
    </row>
    <row r="204">
      <c r="A204" s="34" t="n">
        <v>46300</v>
      </c>
      <c r="B204" s="35" t="inlineStr">
        <is>
          <t>DRV_39</t>
        </is>
      </c>
      <c r="C204" s="35" t="inlineStr">
        <is>
          <t>Pangkalan Jati Lama</t>
        </is>
      </c>
      <c r="D204" s="35" t="inlineStr">
        <is>
          <t>Dedicated LM 2W</t>
        </is>
      </c>
      <c r="E204" s="35" t="n">
        <v>71</v>
      </c>
      <c r="F204" s="35" t="n">
        <v>71</v>
      </c>
      <c r="G204" s="35" t="n">
        <v>0</v>
      </c>
      <c r="H204" s="35" t="n">
        <v>0</v>
      </c>
      <c r="I204" s="35" t="n">
        <f>E204-SUM(F204:H204)</f>
        <v>0</v>
      </c>
      <c r="J204" s="36" t="n">
        <f>IFERROR(F204/E204,0)</f>
        <v>1</v>
      </c>
    </row>
    <row r="205">
      <c r="A205" s="34" t="n">
        <v>46300</v>
      </c>
      <c r="B205" s="35" t="inlineStr">
        <is>
          <t>DRV_40</t>
        </is>
      </c>
      <c r="C205" s="35" t="inlineStr">
        <is>
          <t>Grogol</t>
        </is>
      </c>
      <c r="D205" s="35" t="inlineStr">
        <is>
          <t>Dedicated LM 2W</t>
        </is>
      </c>
      <c r="E205" s="35" t="n">
        <v>85</v>
      </c>
      <c r="F205" s="35" t="n">
        <v>85</v>
      </c>
      <c r="G205" s="35" t="n">
        <v>0</v>
      </c>
      <c r="H205" s="35" t="n">
        <v>0</v>
      </c>
      <c r="I205" s="35" t="n">
        <f>E205-SUM(F205:H205)</f>
        <v>0</v>
      </c>
      <c r="J205" s="36" t="n">
        <f>IFERROR(F205/E205,0)</f>
        <v>1</v>
      </c>
    </row>
    <row r="206">
      <c r="A206" s="34" t="n">
        <v>46300</v>
      </c>
      <c r="B206" s="35" t="inlineStr">
        <is>
          <t>DRV_42</t>
        </is>
      </c>
      <c r="C206" s="35" t="inlineStr">
        <is>
          <t>Grogol</t>
        </is>
      </c>
      <c r="D206" s="35" t="inlineStr">
        <is>
          <t>Mitra LM 2W</t>
        </is>
      </c>
      <c r="E206" s="35" t="n">
        <v>98</v>
      </c>
      <c r="F206" s="35" t="n">
        <v>98</v>
      </c>
      <c r="G206" s="35" t="n">
        <v>0</v>
      </c>
      <c r="H206" s="35" t="n">
        <v>0</v>
      </c>
      <c r="I206" s="35" t="n">
        <f>E206-SUM(F206:H206)</f>
        <v>0</v>
      </c>
      <c r="J206" s="36" t="n">
        <f>IFERROR(F206/E206,0)</f>
        <v>1</v>
      </c>
    </row>
    <row r="207">
      <c r="A207" s="34" t="n">
        <v>46300</v>
      </c>
      <c r="B207" s="35" t="inlineStr">
        <is>
          <t>DRV_44</t>
        </is>
      </c>
      <c r="C207" s="35" t="inlineStr">
        <is>
          <t>Pangkalan Jati Lama</t>
        </is>
      </c>
      <c r="D207" s="35" t="inlineStr">
        <is>
          <t>Dedicated LM 2W</t>
        </is>
      </c>
      <c r="E207" s="35" t="n">
        <v>74</v>
      </c>
      <c r="F207" s="35" t="n">
        <v>74</v>
      </c>
      <c r="G207" s="35" t="n">
        <v>0</v>
      </c>
      <c r="H207" s="35" t="n">
        <v>0</v>
      </c>
      <c r="I207" s="35" t="n">
        <f>E207-SUM(F207:H207)</f>
        <v>0</v>
      </c>
      <c r="J207" s="36" t="n">
        <f>IFERROR(F207/E207,0)</f>
        <v>1</v>
      </c>
    </row>
    <row r="208">
      <c r="A208" s="34" t="n">
        <v>46300</v>
      </c>
      <c r="B208" s="35" t="inlineStr">
        <is>
          <t>DRV_45</t>
        </is>
      </c>
      <c r="C208" s="35" t="inlineStr">
        <is>
          <t>Krukut</t>
        </is>
      </c>
      <c r="D208" s="35" t="inlineStr">
        <is>
          <t>Mitra LM 2W</t>
        </is>
      </c>
      <c r="E208" s="35" t="n">
        <v>108</v>
      </c>
      <c r="F208" s="35" t="n">
        <v>108</v>
      </c>
      <c r="G208" s="35" t="n">
        <v>0</v>
      </c>
      <c r="H208" s="35" t="n">
        <v>0</v>
      </c>
      <c r="I208" s="35" t="n">
        <f>E208-SUM(F208:H208)</f>
        <v>0</v>
      </c>
      <c r="J208" s="36" t="n">
        <f>IFERROR(F208/E208,0)</f>
        <v>1</v>
      </c>
    </row>
    <row r="209">
      <c r="A209" s="34" t="n">
        <v>46300</v>
      </c>
      <c r="B209" s="35" t="inlineStr">
        <is>
          <t>DRV_46</t>
        </is>
      </c>
      <c r="C209" s="35" t="inlineStr">
        <is>
          <t>Pangkalan Jati Lama</t>
        </is>
      </c>
      <c r="D209" s="35" t="inlineStr">
        <is>
          <t>Mitra LM 2W</t>
        </is>
      </c>
      <c r="E209" s="35" t="n">
        <v>97</v>
      </c>
      <c r="F209" s="35" t="n">
        <v>97</v>
      </c>
      <c r="G209" s="35" t="n">
        <v>0</v>
      </c>
      <c r="H209" s="35" t="n">
        <v>0</v>
      </c>
      <c r="I209" s="35" t="n">
        <f>E209-SUM(F209:H209)</f>
        <v>0</v>
      </c>
      <c r="J209" s="36" t="n">
        <f>IFERROR(F209/E209,0)</f>
        <v>1</v>
      </c>
    </row>
    <row r="210">
      <c r="A210" s="34" t="n">
        <v>46300</v>
      </c>
      <c r="B210" s="35" t="inlineStr">
        <is>
          <t>DRV_48</t>
        </is>
      </c>
      <c r="C210" s="35" t="inlineStr">
        <is>
          <t>Pangkalan Jati Baru</t>
        </is>
      </c>
      <c r="D210" s="35" t="inlineStr">
        <is>
          <t>Mitra LM 2W</t>
        </is>
      </c>
      <c r="E210" s="35" t="n">
        <v>91</v>
      </c>
      <c r="F210" s="35" t="n">
        <v>91</v>
      </c>
      <c r="G210" s="35" t="n">
        <v>0</v>
      </c>
      <c r="H210" s="35" t="n">
        <v>0</v>
      </c>
      <c r="I210" s="35" t="n">
        <f>E210-SUM(F210:H210)</f>
        <v>0</v>
      </c>
      <c r="J210" s="36" t="n">
        <f>IFERROR(F210/E210,0)</f>
        <v>1</v>
      </c>
    </row>
    <row r="211">
      <c r="A211" s="34" t="n">
        <v>46300</v>
      </c>
      <c r="B211" s="35" t="inlineStr">
        <is>
          <t>DRV_49</t>
        </is>
      </c>
      <c r="C211" s="35" t="inlineStr">
        <is>
          <t>Limo</t>
        </is>
      </c>
      <c r="D211" s="35" t="inlineStr">
        <is>
          <t>Mitra LM 2W</t>
        </is>
      </c>
      <c r="E211" s="35" t="n">
        <v>101</v>
      </c>
      <c r="F211" s="35" t="n">
        <v>101</v>
      </c>
      <c r="G211" s="35" t="n">
        <v>0</v>
      </c>
      <c r="H211" s="35" t="n">
        <v>0</v>
      </c>
      <c r="I211" s="35" t="n">
        <f>E211-SUM(F211:H211)</f>
        <v>0</v>
      </c>
      <c r="J211" s="36" t="n">
        <f>IFERROR(F211/E211,0)</f>
        <v>1</v>
      </c>
    </row>
    <row r="212">
      <c r="A212" s="34" t="n">
        <v>46300</v>
      </c>
      <c r="B212" s="35" t="inlineStr">
        <is>
          <t>DRV_51</t>
        </is>
      </c>
      <c r="C212" s="35" t="inlineStr">
        <is>
          <t>GANDUL</t>
        </is>
      </c>
      <c r="D212" s="35" t="inlineStr">
        <is>
          <t>Mitra LM 2W</t>
        </is>
      </c>
      <c r="E212" s="35" t="n">
        <v>97</v>
      </c>
      <c r="F212" s="35" t="n">
        <v>96</v>
      </c>
      <c r="G212" s="35" t="n">
        <v>0</v>
      </c>
      <c r="H212" s="35" t="n">
        <v>0</v>
      </c>
      <c r="I212" s="35" t="n">
        <f>E212-SUM(F212:H212)</f>
        <v>1</v>
      </c>
      <c r="J212" s="36" t="n">
        <f>IFERROR(F212/E212,0)</f>
        <v>0.989690721649485</v>
      </c>
    </row>
    <row r="213">
      <c r="A213" s="34" t="n">
        <v>46300</v>
      </c>
      <c r="B213" s="35" t="inlineStr">
        <is>
          <t>DRV_52</t>
        </is>
      </c>
      <c r="C213" s="35" t="inlineStr">
        <is>
          <t>Grogol</t>
        </is>
      </c>
      <c r="D213" s="35" t="inlineStr">
        <is>
          <t>Dedicated LM 2W</t>
        </is>
      </c>
      <c r="E213" s="35" t="n">
        <v>123</v>
      </c>
      <c r="F213" s="35" t="n">
        <v>123</v>
      </c>
      <c r="G213" s="35" t="n">
        <v>0</v>
      </c>
      <c r="H213" s="35" t="n">
        <v>0</v>
      </c>
      <c r="I213" s="35" t="n">
        <f>E213-SUM(F213:H213)</f>
        <v>0</v>
      </c>
      <c r="J213" s="36" t="n">
        <f>IFERROR(F213/E213,0)</f>
        <v>1</v>
      </c>
    </row>
    <row r="214">
      <c r="A214" s="34" t="n">
        <v>46300</v>
      </c>
      <c r="B214" s="35" t="inlineStr">
        <is>
          <t>DRV_57</t>
        </is>
      </c>
      <c r="C214" s="35" t="inlineStr">
        <is>
          <t>Pangkalan Jati Lama</t>
        </is>
      </c>
      <c r="D214" s="35" t="inlineStr">
        <is>
          <t>Mitra LM 2W</t>
        </is>
      </c>
      <c r="E214" s="35" t="n">
        <v>57</v>
      </c>
      <c r="F214" s="35" t="n">
        <v>57</v>
      </c>
      <c r="G214" s="35" t="n">
        <v>0</v>
      </c>
      <c r="H214" s="35" t="n">
        <v>0</v>
      </c>
      <c r="I214" s="35" t="n">
        <f>E214-SUM(F214:H214)</f>
        <v>0</v>
      </c>
      <c r="J214" s="36" t="n">
        <f>IFERROR(F214/E214,0)</f>
        <v>1</v>
      </c>
    </row>
    <row r="215">
      <c r="A215" s="34" t="n">
        <v>46300</v>
      </c>
      <c r="B215" s="35" t="inlineStr">
        <is>
          <t>DRV_58</t>
        </is>
      </c>
      <c r="C215" s="35" t="inlineStr">
        <is>
          <t>Krukut</t>
        </is>
      </c>
      <c r="D215" s="35" t="inlineStr">
        <is>
          <t>Mitra LM 2W</t>
        </is>
      </c>
      <c r="E215" s="35" t="n">
        <v>92</v>
      </c>
      <c r="F215" s="35" t="n">
        <v>92</v>
      </c>
      <c r="G215" s="35" t="n">
        <v>0</v>
      </c>
      <c r="H215" s="35" t="n">
        <v>0</v>
      </c>
      <c r="I215" s="35" t="n">
        <f>E215-SUM(F215:H215)</f>
        <v>0</v>
      </c>
      <c r="J215" s="36" t="n">
        <f>IFERROR(F215/E215,0)</f>
        <v>1</v>
      </c>
    </row>
    <row r="216">
      <c r="A216" s="34" t="n">
        <v>46301</v>
      </c>
      <c r="B216" s="35" t="inlineStr">
        <is>
          <t>DRV_02</t>
        </is>
      </c>
      <c r="C216" s="35" t="inlineStr">
        <is>
          <t>Grogol</t>
        </is>
      </c>
      <c r="D216" s="35" t="inlineStr">
        <is>
          <t>Mitra LM 2W</t>
        </is>
      </c>
      <c r="E216" s="35" t="n">
        <v>115</v>
      </c>
      <c r="F216" s="35" t="n">
        <v>115</v>
      </c>
      <c r="G216" s="35" t="n">
        <v>0</v>
      </c>
      <c r="H216" s="35" t="n">
        <v>0</v>
      </c>
      <c r="I216" s="35" t="n">
        <f>E216-SUM(F216:H216)</f>
        <v>0</v>
      </c>
      <c r="J216" s="36" t="n">
        <f>IFERROR(F216/E216,0)</f>
        <v>1</v>
      </c>
    </row>
    <row r="217">
      <c r="A217" s="34" t="n">
        <v>46301</v>
      </c>
      <c r="B217" s="35" t="inlineStr">
        <is>
          <t>DRV_03</t>
        </is>
      </c>
      <c r="C217" s="35" t="inlineStr">
        <is>
          <t>GANDUL</t>
        </is>
      </c>
      <c r="D217" s="35" t="inlineStr">
        <is>
          <t>Mitra LM 2W</t>
        </is>
      </c>
      <c r="E217" s="35" t="n">
        <v>115</v>
      </c>
      <c r="F217" s="35" t="n">
        <v>115</v>
      </c>
      <c r="G217" s="35" t="n">
        <v>0</v>
      </c>
      <c r="H217" s="35" t="n">
        <v>0</v>
      </c>
      <c r="I217" s="35" t="n">
        <f>E217-SUM(F217:H217)</f>
        <v>0</v>
      </c>
      <c r="J217" s="36" t="n">
        <f>IFERROR(F217/E217,0)</f>
        <v>1</v>
      </c>
    </row>
    <row r="218">
      <c r="A218" s="34" t="n">
        <v>46301</v>
      </c>
      <c r="B218" s="35" t="inlineStr">
        <is>
          <t>DRV_04</t>
        </is>
      </c>
      <c r="C218" s="35" t="inlineStr">
        <is>
          <t>Limo</t>
        </is>
      </c>
      <c r="D218" s="35" t="inlineStr">
        <is>
          <t>Mitra LM 2W</t>
        </is>
      </c>
      <c r="E218" s="35" t="n">
        <v>73</v>
      </c>
      <c r="F218" s="35" t="n">
        <v>73</v>
      </c>
      <c r="G218" s="35" t="n">
        <v>0</v>
      </c>
      <c r="H218" s="35" t="n">
        <v>0</v>
      </c>
      <c r="I218" s="35" t="n">
        <f>E218-SUM(F218:H218)</f>
        <v>0</v>
      </c>
      <c r="J218" s="36" t="n">
        <f>IFERROR(F218/E218,0)</f>
        <v>1</v>
      </c>
    </row>
    <row r="219">
      <c r="A219" s="34" t="n">
        <v>46301</v>
      </c>
      <c r="B219" s="35" t="inlineStr">
        <is>
          <t>DRV_05</t>
        </is>
      </c>
      <c r="C219" s="35" t="inlineStr">
        <is>
          <t>GANDUL</t>
        </is>
      </c>
      <c r="D219" s="35" t="inlineStr">
        <is>
          <t>Mitra LM 2W</t>
        </is>
      </c>
      <c r="E219" s="35" t="n">
        <v>63</v>
      </c>
      <c r="F219" s="35" t="n">
        <v>63</v>
      </c>
      <c r="G219" s="35" t="n">
        <v>0</v>
      </c>
      <c r="H219" s="35" t="n">
        <v>0</v>
      </c>
      <c r="I219" s="35" t="n">
        <f>E219-SUM(F219:H219)</f>
        <v>0</v>
      </c>
      <c r="J219" s="36" t="n">
        <f>IFERROR(F219/E219,0)</f>
        <v>1</v>
      </c>
    </row>
    <row r="220">
      <c r="A220" s="34" t="n">
        <v>46301</v>
      </c>
      <c r="B220" s="35" t="inlineStr">
        <is>
          <t>DRV_06</t>
        </is>
      </c>
      <c r="C220" s="35" t="inlineStr">
        <is>
          <t>Grogol</t>
        </is>
      </c>
      <c r="D220" s="35" t="inlineStr">
        <is>
          <t>Mitra LM 2W</t>
        </is>
      </c>
      <c r="E220" s="35" t="n">
        <v>106</v>
      </c>
      <c r="F220" s="35" t="n">
        <v>106</v>
      </c>
      <c r="G220" s="35" t="n">
        <v>0</v>
      </c>
      <c r="H220" s="35" t="n">
        <v>0</v>
      </c>
      <c r="I220" s="35" t="n">
        <f>E220-SUM(F220:H220)</f>
        <v>0</v>
      </c>
      <c r="J220" s="36" t="n">
        <f>IFERROR(F220/E220,0)</f>
        <v>1</v>
      </c>
    </row>
    <row r="221">
      <c r="A221" s="34" t="n">
        <v>46301</v>
      </c>
      <c r="B221" s="35" t="inlineStr">
        <is>
          <t>DRV_07</t>
        </is>
      </c>
      <c r="C221" s="35" t="inlineStr">
        <is>
          <t>CINERE</t>
        </is>
      </c>
      <c r="D221" s="35" t="inlineStr">
        <is>
          <t>Mitra LM 2W</t>
        </is>
      </c>
      <c r="E221" s="35" t="n">
        <v>71</v>
      </c>
      <c r="F221" s="35" t="n">
        <v>71</v>
      </c>
      <c r="G221" s="35" t="n">
        <v>0</v>
      </c>
      <c r="H221" s="35" t="n">
        <v>0</v>
      </c>
      <c r="I221" s="35" t="n">
        <f>E221-SUM(F221:H221)</f>
        <v>0</v>
      </c>
      <c r="J221" s="36" t="n">
        <f>IFERROR(F221/E221,0)</f>
        <v>1</v>
      </c>
    </row>
    <row r="222">
      <c r="A222" s="34" t="n">
        <v>46301</v>
      </c>
      <c r="B222" s="35" t="inlineStr">
        <is>
          <t>DRV_08</t>
        </is>
      </c>
      <c r="C222" s="35" t="inlineStr">
        <is>
          <t>CINERE</t>
        </is>
      </c>
      <c r="D222" s="35" t="inlineStr">
        <is>
          <t>Mitra LM 2W</t>
        </is>
      </c>
      <c r="E222" s="35" t="n">
        <v>66</v>
      </c>
      <c r="F222" s="35" t="n">
        <v>66</v>
      </c>
      <c r="G222" s="35" t="n">
        <v>0</v>
      </c>
      <c r="H222" s="35" t="n">
        <v>0</v>
      </c>
      <c r="I222" s="35" t="n">
        <f>E222-SUM(F222:H222)</f>
        <v>0</v>
      </c>
      <c r="J222" s="36" t="n">
        <f>IFERROR(F222/E222,0)</f>
        <v>1</v>
      </c>
    </row>
    <row r="223">
      <c r="A223" s="34" t="n">
        <v>46301</v>
      </c>
      <c r="B223" s="35" t="inlineStr">
        <is>
          <t>DRV_10</t>
        </is>
      </c>
      <c r="C223" s="35" t="inlineStr">
        <is>
          <t>Meruyung</t>
        </is>
      </c>
      <c r="D223" s="35" t="inlineStr">
        <is>
          <t>Mitra LM 2W</t>
        </is>
      </c>
      <c r="E223" s="35" t="n">
        <v>95</v>
      </c>
      <c r="F223" s="35" t="n">
        <v>95</v>
      </c>
      <c r="G223" s="35" t="n">
        <v>0</v>
      </c>
      <c r="H223" s="35" t="n">
        <v>0</v>
      </c>
      <c r="I223" s="35" t="n">
        <f>E223-SUM(F223:H223)</f>
        <v>0</v>
      </c>
      <c r="J223" s="36" t="n">
        <f>IFERROR(F223/E223,0)</f>
        <v>1</v>
      </c>
    </row>
    <row r="224">
      <c r="A224" s="34" t="n">
        <v>46301</v>
      </c>
      <c r="B224" s="35" t="inlineStr">
        <is>
          <t>DRV_11</t>
        </is>
      </c>
      <c r="C224" s="35" t="inlineStr">
        <is>
          <t>Grogol</t>
        </is>
      </c>
      <c r="D224" s="35" t="inlineStr">
        <is>
          <t>Mitra LM 2W</t>
        </is>
      </c>
      <c r="E224" s="35" t="n">
        <v>100</v>
      </c>
      <c r="F224" s="35" t="n">
        <v>100</v>
      </c>
      <c r="G224" s="35" t="n">
        <v>0</v>
      </c>
      <c r="H224" s="35" t="n">
        <v>0</v>
      </c>
      <c r="I224" s="35" t="n">
        <f>E224-SUM(F224:H224)</f>
        <v>0</v>
      </c>
      <c r="J224" s="36" t="n">
        <f>IFERROR(F224/E224,0)</f>
        <v>1</v>
      </c>
    </row>
    <row r="225">
      <c r="A225" s="34" t="n">
        <v>46301</v>
      </c>
      <c r="B225" s="35" t="inlineStr">
        <is>
          <t>DRV_12</t>
        </is>
      </c>
      <c r="C225" s="35" t="inlineStr">
        <is>
          <t>Pangkalan Jati Baru</t>
        </is>
      </c>
      <c r="D225" s="35" t="inlineStr">
        <is>
          <t>Mitra LM 2W</t>
        </is>
      </c>
      <c r="E225" s="35" t="n">
        <v>133</v>
      </c>
      <c r="F225" s="35" t="n">
        <v>133</v>
      </c>
      <c r="G225" s="35" t="n">
        <v>0</v>
      </c>
      <c r="H225" s="35" t="n">
        <v>0</v>
      </c>
      <c r="I225" s="35" t="n">
        <f>E225-SUM(F225:H225)</f>
        <v>0</v>
      </c>
      <c r="J225" s="36" t="n">
        <f>IFERROR(F225/E225,0)</f>
        <v>1</v>
      </c>
    </row>
    <row r="226">
      <c r="A226" s="34" t="n">
        <v>46301</v>
      </c>
      <c r="B226" s="35" t="inlineStr">
        <is>
          <t>DRV_14</t>
        </is>
      </c>
      <c r="C226" s="35" t="inlineStr">
        <is>
          <t>CINERE</t>
        </is>
      </c>
      <c r="D226" s="35" t="inlineStr">
        <is>
          <t>Dedicated LM 2W</t>
        </is>
      </c>
      <c r="E226" s="35" t="n">
        <v>146</v>
      </c>
      <c r="F226" s="35" t="n">
        <v>146</v>
      </c>
      <c r="G226" s="35" t="n">
        <v>0</v>
      </c>
      <c r="H226" s="35" t="n">
        <v>0</v>
      </c>
      <c r="I226" s="35" t="n">
        <f>E226-SUM(F226:H226)</f>
        <v>0</v>
      </c>
      <c r="J226" s="36" t="n">
        <f>IFERROR(F226/E226,0)</f>
        <v>1</v>
      </c>
    </row>
    <row r="227">
      <c r="A227" s="34" t="n">
        <v>46301</v>
      </c>
      <c r="B227" s="35" t="inlineStr">
        <is>
          <t>DRV_15</t>
        </is>
      </c>
      <c r="C227" s="35" t="inlineStr">
        <is>
          <t>Krukut</t>
        </is>
      </c>
      <c r="D227" s="35" t="inlineStr">
        <is>
          <t>Mitra LM 2W</t>
        </is>
      </c>
      <c r="E227" s="35" t="n">
        <v>109</v>
      </c>
      <c r="F227" s="35" t="n">
        <v>109</v>
      </c>
      <c r="G227" s="35" t="n">
        <v>0</v>
      </c>
      <c r="H227" s="35" t="n">
        <v>0</v>
      </c>
      <c r="I227" s="35" t="n">
        <f>E227-SUM(F227:H227)</f>
        <v>0</v>
      </c>
      <c r="J227" s="36" t="n">
        <f>IFERROR(F227/E227,0)</f>
        <v>1</v>
      </c>
    </row>
    <row r="228">
      <c r="A228" s="34" t="n">
        <v>46301</v>
      </c>
      <c r="B228" s="35" t="inlineStr">
        <is>
          <t>DRV_16</t>
        </is>
      </c>
      <c r="C228" s="35" t="inlineStr">
        <is>
          <t>Meruyung</t>
        </is>
      </c>
      <c r="D228" s="35" t="inlineStr">
        <is>
          <t>Mitra LM 2W</t>
        </is>
      </c>
      <c r="E228" s="35" t="n">
        <v>130</v>
      </c>
      <c r="F228" s="35" t="n">
        <v>130</v>
      </c>
      <c r="G228" s="35" t="n">
        <v>0</v>
      </c>
      <c r="H228" s="35" t="n">
        <v>0</v>
      </c>
      <c r="I228" s="35" t="n">
        <f>E228-SUM(F228:H228)</f>
        <v>0</v>
      </c>
      <c r="J228" s="36" t="n">
        <f>IFERROR(F228/E228,0)</f>
        <v>1</v>
      </c>
    </row>
    <row r="229">
      <c r="A229" s="34" t="n">
        <v>46301</v>
      </c>
      <c r="B229" s="35" t="inlineStr">
        <is>
          <t>DRV_17</t>
        </is>
      </c>
      <c r="C229" s="35" t="inlineStr">
        <is>
          <t>Krukut</t>
        </is>
      </c>
      <c r="D229" s="35" t="inlineStr">
        <is>
          <t>Dedicated LM 2W</t>
        </is>
      </c>
      <c r="E229" s="35" t="n">
        <v>178</v>
      </c>
      <c r="F229" s="35" t="n">
        <v>178</v>
      </c>
      <c r="G229" s="35" t="n">
        <v>0</v>
      </c>
      <c r="H229" s="35" t="n">
        <v>0</v>
      </c>
      <c r="I229" s="35" t="n">
        <f>E229-SUM(F229:H229)</f>
        <v>0</v>
      </c>
      <c r="J229" s="36" t="n">
        <f>IFERROR(F229/E229,0)</f>
        <v>1</v>
      </c>
    </row>
    <row r="230">
      <c r="A230" s="34" t="n">
        <v>46301</v>
      </c>
      <c r="B230" s="35" t="inlineStr">
        <is>
          <t>DRV_18</t>
        </is>
      </c>
      <c r="C230" s="35" t="inlineStr">
        <is>
          <t>Meruyung</t>
        </is>
      </c>
      <c r="D230" s="35" t="inlineStr">
        <is>
          <t>Mitra LM 2W</t>
        </is>
      </c>
      <c r="E230" s="35" t="n">
        <v>125</v>
      </c>
      <c r="F230" s="35" t="n">
        <v>125</v>
      </c>
      <c r="G230" s="35" t="n">
        <v>0</v>
      </c>
      <c r="H230" s="35" t="n">
        <v>0</v>
      </c>
      <c r="I230" s="35" t="n">
        <f>E230-SUM(F230:H230)</f>
        <v>0</v>
      </c>
      <c r="J230" s="36" t="n">
        <f>IFERROR(F230/E230,0)</f>
        <v>1</v>
      </c>
    </row>
    <row r="231">
      <c r="A231" s="34" t="n">
        <v>46301</v>
      </c>
      <c r="B231" s="35" t="inlineStr">
        <is>
          <t>DRV_19</t>
        </is>
      </c>
      <c r="C231" s="35" t="inlineStr">
        <is>
          <t>Meruyung</t>
        </is>
      </c>
      <c r="D231" s="35" t="inlineStr">
        <is>
          <t>Mitra LM 2W</t>
        </is>
      </c>
      <c r="E231" s="35" t="n">
        <v>64</v>
      </c>
      <c r="F231" s="35" t="n">
        <v>64</v>
      </c>
      <c r="G231" s="35" t="n">
        <v>0</v>
      </c>
      <c r="H231" s="35" t="n">
        <v>0</v>
      </c>
      <c r="I231" s="35" t="n">
        <f>E231-SUM(F231:H231)</f>
        <v>0</v>
      </c>
      <c r="J231" s="36" t="n">
        <f>IFERROR(F231/E231,0)</f>
        <v>1</v>
      </c>
    </row>
    <row r="232">
      <c r="A232" s="34" t="n">
        <v>46301</v>
      </c>
      <c r="B232" s="35" t="inlineStr">
        <is>
          <t>DRV_20</t>
        </is>
      </c>
      <c r="C232" s="35" t="inlineStr">
        <is>
          <t>Krukut</t>
        </is>
      </c>
      <c r="D232" s="35" t="inlineStr">
        <is>
          <t>Mitra LM 2W</t>
        </is>
      </c>
      <c r="E232" s="35" t="n">
        <v>66</v>
      </c>
      <c r="F232" s="35" t="n">
        <v>66</v>
      </c>
      <c r="G232" s="35" t="n">
        <v>0</v>
      </c>
      <c r="H232" s="35" t="n">
        <v>0</v>
      </c>
      <c r="I232" s="35" t="n">
        <f>E232-SUM(F232:H232)</f>
        <v>0</v>
      </c>
      <c r="J232" s="36" t="n">
        <f>IFERROR(F232/E232,0)</f>
        <v>1</v>
      </c>
    </row>
    <row r="233">
      <c r="A233" s="34" t="n">
        <v>46301</v>
      </c>
      <c r="B233" s="35" t="inlineStr">
        <is>
          <t>DRV_21</t>
        </is>
      </c>
      <c r="C233" s="35" t="inlineStr">
        <is>
          <t>Grogol</t>
        </is>
      </c>
      <c r="D233" s="35" t="inlineStr">
        <is>
          <t>Dedicated LM 2W</t>
        </is>
      </c>
      <c r="E233" s="35" t="n">
        <v>147</v>
      </c>
      <c r="F233" s="35" t="n">
        <v>147</v>
      </c>
      <c r="G233" s="35" t="n">
        <v>0</v>
      </c>
      <c r="H233" s="35" t="n">
        <v>0</v>
      </c>
      <c r="I233" s="35" t="n">
        <f>E233-SUM(F233:H233)</f>
        <v>0</v>
      </c>
      <c r="J233" s="36" t="n">
        <f>IFERROR(F233/E233,0)</f>
        <v>1</v>
      </c>
    </row>
    <row r="234">
      <c r="A234" s="34" t="n">
        <v>46301</v>
      </c>
      <c r="B234" s="35" t="inlineStr">
        <is>
          <t>DRV_22</t>
        </is>
      </c>
      <c r="C234" s="35" t="inlineStr">
        <is>
          <t>Limo</t>
        </is>
      </c>
      <c r="D234" s="35" t="inlineStr">
        <is>
          <t>Mitra LM 2W</t>
        </is>
      </c>
      <c r="E234" s="35" t="n">
        <v>99</v>
      </c>
      <c r="F234" s="35" t="n">
        <v>99</v>
      </c>
      <c r="G234" s="35" t="n">
        <v>0</v>
      </c>
      <c r="H234" s="35" t="n">
        <v>0</v>
      </c>
      <c r="I234" s="35" t="n">
        <f>E234-SUM(F234:H234)</f>
        <v>0</v>
      </c>
      <c r="J234" s="36" t="n">
        <f>IFERROR(F234/E234,0)</f>
        <v>1</v>
      </c>
    </row>
    <row r="235">
      <c r="A235" s="34" t="n">
        <v>46301</v>
      </c>
      <c r="B235" s="35" t="inlineStr">
        <is>
          <t>DRV_23</t>
        </is>
      </c>
      <c r="C235" s="35" t="inlineStr">
        <is>
          <t>Meruyung</t>
        </is>
      </c>
      <c r="D235" s="35" t="inlineStr">
        <is>
          <t>Mitra LM 2W</t>
        </is>
      </c>
      <c r="E235" s="35" t="n">
        <v>69</v>
      </c>
      <c r="F235" s="35" t="n">
        <v>69</v>
      </c>
      <c r="G235" s="35" t="n">
        <v>0</v>
      </c>
      <c r="H235" s="35" t="n">
        <v>0</v>
      </c>
      <c r="I235" s="35" t="n">
        <f>E235-SUM(F235:H235)</f>
        <v>0</v>
      </c>
      <c r="J235" s="36" t="n">
        <f>IFERROR(F235/E235,0)</f>
        <v>1</v>
      </c>
    </row>
    <row r="236">
      <c r="A236" s="34" t="n">
        <v>46301</v>
      </c>
      <c r="B236" s="35" t="inlineStr">
        <is>
          <t>DRV_24</t>
        </is>
      </c>
      <c r="C236" s="35" t="inlineStr">
        <is>
          <t>GANDUL</t>
        </is>
      </c>
      <c r="D236" s="35" t="inlineStr">
        <is>
          <t>Mitra LM 2W</t>
        </is>
      </c>
      <c r="E236" s="35" t="n">
        <v>163</v>
      </c>
      <c r="F236" s="35" t="n">
        <v>163</v>
      </c>
      <c r="G236" s="35" t="n">
        <v>0</v>
      </c>
      <c r="H236" s="35" t="n">
        <v>0</v>
      </c>
      <c r="I236" s="35" t="n">
        <f>E236-SUM(F236:H236)</f>
        <v>0</v>
      </c>
      <c r="J236" s="36" t="n">
        <f>IFERROR(F236/E236,0)</f>
        <v>1</v>
      </c>
    </row>
    <row r="237">
      <c r="A237" s="34" t="n">
        <v>46301</v>
      </c>
      <c r="B237" s="35" t="inlineStr">
        <is>
          <t>DRV_25</t>
        </is>
      </c>
      <c r="C237" s="35" t="inlineStr">
        <is>
          <t>CINERE</t>
        </is>
      </c>
      <c r="D237" s="35" t="inlineStr">
        <is>
          <t>Mitra LM 2W</t>
        </is>
      </c>
      <c r="E237" s="35" t="n">
        <v>43</v>
      </c>
      <c r="F237" s="35" t="n">
        <v>43</v>
      </c>
      <c r="G237" s="35" t="n">
        <v>0</v>
      </c>
      <c r="H237" s="35" t="n">
        <v>0</v>
      </c>
      <c r="I237" s="35" t="n">
        <f>E237-SUM(F237:H237)</f>
        <v>0</v>
      </c>
      <c r="J237" s="36" t="n">
        <f>IFERROR(F237/E237,0)</f>
        <v>1</v>
      </c>
    </row>
    <row r="238">
      <c r="A238" s="34" t="n">
        <v>46301</v>
      </c>
      <c r="B238" s="35" t="inlineStr">
        <is>
          <t>DRV_26</t>
        </is>
      </c>
      <c r="C238" s="35" t="inlineStr">
        <is>
          <t>Pangkalan Jati Baru</t>
        </is>
      </c>
      <c r="D238" s="35" t="inlineStr">
        <is>
          <t>Mitra LM 2W</t>
        </is>
      </c>
      <c r="E238" s="35" t="n">
        <v>79</v>
      </c>
      <c r="F238" s="35" t="n">
        <v>79</v>
      </c>
      <c r="G238" s="35" t="n">
        <v>0</v>
      </c>
      <c r="H238" s="35" t="n">
        <v>0</v>
      </c>
      <c r="I238" s="35" t="n">
        <f>E238-SUM(F238:H238)</f>
        <v>0</v>
      </c>
      <c r="J238" s="36" t="n">
        <f>IFERROR(F238/E238,0)</f>
        <v>1</v>
      </c>
    </row>
    <row r="239">
      <c r="A239" s="34" t="n">
        <v>46301</v>
      </c>
      <c r="B239" s="35" t="inlineStr">
        <is>
          <t>DRV_27</t>
        </is>
      </c>
      <c r="C239" s="35" t="inlineStr">
        <is>
          <t>Grogol</t>
        </is>
      </c>
      <c r="D239" s="35" t="inlineStr">
        <is>
          <t>Mitra LM 2W</t>
        </is>
      </c>
      <c r="E239" s="35" t="n">
        <v>125</v>
      </c>
      <c r="F239" s="35" t="n">
        <v>125</v>
      </c>
      <c r="G239" s="35" t="n">
        <v>0</v>
      </c>
      <c r="H239" s="35" t="n">
        <v>0</v>
      </c>
      <c r="I239" s="35" t="n">
        <f>E239-SUM(F239:H239)</f>
        <v>0</v>
      </c>
      <c r="J239" s="36" t="n">
        <f>IFERROR(F239/E239,0)</f>
        <v>1</v>
      </c>
    </row>
    <row r="240">
      <c r="A240" s="34" t="n">
        <v>46301</v>
      </c>
      <c r="B240" s="35" t="inlineStr">
        <is>
          <t>DRV_28</t>
        </is>
      </c>
      <c r="C240" s="35" t="inlineStr">
        <is>
          <t>Pangkalan Jati Lama</t>
        </is>
      </c>
      <c r="D240" s="35" t="inlineStr">
        <is>
          <t>Mitra LM 2W</t>
        </is>
      </c>
      <c r="E240" s="35" t="n">
        <v>137</v>
      </c>
      <c r="F240" s="35" t="n">
        <v>137</v>
      </c>
      <c r="G240" s="35" t="n">
        <v>0</v>
      </c>
      <c r="H240" s="35" t="n">
        <v>0</v>
      </c>
      <c r="I240" s="35" t="n">
        <f>E240-SUM(F240:H240)</f>
        <v>0</v>
      </c>
      <c r="J240" s="36" t="n">
        <f>IFERROR(F240/E240,0)</f>
        <v>1</v>
      </c>
    </row>
    <row r="241">
      <c r="A241" s="34" t="n">
        <v>46301</v>
      </c>
      <c r="B241" s="35" t="inlineStr">
        <is>
          <t>DRV_29</t>
        </is>
      </c>
      <c r="C241" s="35" t="inlineStr">
        <is>
          <t>CINERE</t>
        </is>
      </c>
      <c r="D241" s="35" t="inlineStr">
        <is>
          <t>Mitra LM 2W</t>
        </is>
      </c>
      <c r="E241" s="35" t="n">
        <v>100</v>
      </c>
      <c r="F241" s="35" t="n">
        <v>100</v>
      </c>
      <c r="G241" s="35" t="n">
        <v>0</v>
      </c>
      <c r="H241" s="35" t="n">
        <v>0</v>
      </c>
      <c r="I241" s="35" t="n">
        <f>E241-SUM(F241:H241)</f>
        <v>0</v>
      </c>
      <c r="J241" s="36" t="n">
        <f>IFERROR(F241/E241,0)</f>
        <v>1</v>
      </c>
    </row>
    <row r="242">
      <c r="A242" s="34" t="n">
        <v>46301</v>
      </c>
      <c r="B242" s="35" t="inlineStr">
        <is>
          <t>DRV_30</t>
        </is>
      </c>
      <c r="C242" s="35" t="inlineStr">
        <is>
          <t>Meruyung</t>
        </is>
      </c>
      <c r="D242" s="35" t="inlineStr">
        <is>
          <t>Mitra LM 2W</t>
        </is>
      </c>
      <c r="E242" s="35" t="n">
        <v>92</v>
      </c>
      <c r="F242" s="35" t="n">
        <v>92</v>
      </c>
      <c r="G242" s="35" t="n">
        <v>0</v>
      </c>
      <c r="H242" s="35" t="n">
        <v>0</v>
      </c>
      <c r="I242" s="35" t="n">
        <f>E242-SUM(F242:H242)</f>
        <v>0</v>
      </c>
      <c r="J242" s="36" t="n">
        <f>IFERROR(F242/E242,0)</f>
        <v>1</v>
      </c>
    </row>
    <row r="243">
      <c r="A243" s="34" t="n">
        <v>46301</v>
      </c>
      <c r="B243" s="35" t="inlineStr">
        <is>
          <t>DRV_31</t>
        </is>
      </c>
      <c r="C243" s="35" t="inlineStr">
        <is>
          <t>Krukut</t>
        </is>
      </c>
      <c r="D243" s="35" t="inlineStr">
        <is>
          <t>Mitra LM 2W</t>
        </is>
      </c>
      <c r="E243" s="35" t="n">
        <v>94</v>
      </c>
      <c r="F243" s="35" t="n">
        <v>94</v>
      </c>
      <c r="G243" s="35" t="n">
        <v>0</v>
      </c>
      <c r="H243" s="35" t="n">
        <v>0</v>
      </c>
      <c r="I243" s="35" t="n">
        <f>E243-SUM(F243:H243)</f>
        <v>0</v>
      </c>
      <c r="J243" s="36" t="n">
        <f>IFERROR(F243/E243,0)</f>
        <v>1</v>
      </c>
    </row>
    <row r="244">
      <c r="A244" s="34" t="n">
        <v>46301</v>
      </c>
      <c r="B244" s="35" t="inlineStr">
        <is>
          <t>DRV_32</t>
        </is>
      </c>
      <c r="C244" s="35" t="inlineStr">
        <is>
          <t>CINERE</t>
        </is>
      </c>
      <c r="D244" s="35" t="inlineStr">
        <is>
          <t>Mitra LM 2W</t>
        </is>
      </c>
      <c r="E244" s="35" t="n">
        <v>117</v>
      </c>
      <c r="F244" s="35" t="n">
        <v>117</v>
      </c>
      <c r="G244" s="35" t="n">
        <v>0</v>
      </c>
      <c r="H244" s="35" t="n">
        <v>0</v>
      </c>
      <c r="I244" s="35" t="n">
        <f>E244-SUM(F244:H244)</f>
        <v>0</v>
      </c>
      <c r="J244" s="36" t="n">
        <f>IFERROR(F244/E244,0)</f>
        <v>1</v>
      </c>
    </row>
    <row r="245">
      <c r="A245" s="34" t="n">
        <v>46301</v>
      </c>
      <c r="B245" s="35" t="inlineStr">
        <is>
          <t>DRV_33</t>
        </is>
      </c>
      <c r="C245" s="35" t="inlineStr">
        <is>
          <t>CINERE</t>
        </is>
      </c>
      <c r="D245" s="35" t="inlineStr">
        <is>
          <t>Dedicated LM 2W</t>
        </is>
      </c>
      <c r="E245" s="35" t="n">
        <v>146</v>
      </c>
      <c r="F245" s="35" t="n">
        <v>146</v>
      </c>
      <c r="G245" s="35" t="n">
        <v>0</v>
      </c>
      <c r="H245" s="35" t="n">
        <v>0</v>
      </c>
      <c r="I245" s="35" t="n">
        <f>E245-SUM(F245:H245)</f>
        <v>0</v>
      </c>
      <c r="J245" s="36" t="n">
        <f>IFERROR(F245/E245,0)</f>
        <v>1</v>
      </c>
    </row>
    <row r="246">
      <c r="A246" s="34" t="n">
        <v>46301</v>
      </c>
      <c r="B246" s="35" t="inlineStr">
        <is>
          <t>DRV_34</t>
        </is>
      </c>
      <c r="C246" s="35" t="inlineStr">
        <is>
          <t>Limo</t>
        </is>
      </c>
      <c r="D246" s="35" t="inlineStr">
        <is>
          <t>Mitra LM 2W</t>
        </is>
      </c>
      <c r="E246" s="35" t="n">
        <v>98</v>
      </c>
      <c r="F246" s="35" t="n">
        <v>98</v>
      </c>
      <c r="G246" s="35" t="n">
        <v>0</v>
      </c>
      <c r="H246" s="35" t="n">
        <v>0</v>
      </c>
      <c r="I246" s="35" t="n">
        <f>E246-SUM(F246:H246)</f>
        <v>0</v>
      </c>
      <c r="J246" s="36" t="n">
        <f>IFERROR(F246/E246,0)</f>
        <v>1</v>
      </c>
    </row>
    <row r="247">
      <c r="A247" s="34" t="n">
        <v>46301</v>
      </c>
      <c r="B247" s="35" t="inlineStr">
        <is>
          <t>DRV_35</t>
        </is>
      </c>
      <c r="C247" s="35" t="inlineStr">
        <is>
          <t>CINERE</t>
        </is>
      </c>
      <c r="D247" s="35" t="inlineStr">
        <is>
          <t>Dedicated LM 2W</t>
        </is>
      </c>
      <c r="E247" s="35" t="n">
        <v>142</v>
      </c>
      <c r="F247" s="35" t="n">
        <v>142</v>
      </c>
      <c r="G247" s="35" t="n">
        <v>0</v>
      </c>
      <c r="H247" s="35" t="n">
        <v>0</v>
      </c>
      <c r="I247" s="35" t="n">
        <f>E247-SUM(F247:H247)</f>
        <v>0</v>
      </c>
      <c r="J247" s="36" t="n">
        <f>IFERROR(F247/E247,0)</f>
        <v>1</v>
      </c>
    </row>
    <row r="248">
      <c r="A248" s="34" t="n">
        <v>46301</v>
      </c>
      <c r="B248" s="35" t="inlineStr">
        <is>
          <t>DRV_36</t>
        </is>
      </c>
      <c r="C248" s="35" t="inlineStr">
        <is>
          <t>CINERE</t>
        </is>
      </c>
      <c r="D248" s="35" t="inlineStr">
        <is>
          <t>Mitra LM 2W</t>
        </is>
      </c>
      <c r="E248" s="35" t="n">
        <v>106</v>
      </c>
      <c r="F248" s="35" t="n">
        <v>106</v>
      </c>
      <c r="G248" s="35" t="n">
        <v>0</v>
      </c>
      <c r="H248" s="35" t="n">
        <v>0</v>
      </c>
      <c r="I248" s="35" t="n">
        <f>E248-SUM(F248:H248)</f>
        <v>0</v>
      </c>
      <c r="J248" s="36" t="n">
        <f>IFERROR(F248/E248,0)</f>
        <v>1</v>
      </c>
    </row>
    <row r="249">
      <c r="A249" s="34" t="n">
        <v>46301</v>
      </c>
      <c r="B249" s="35" t="inlineStr">
        <is>
          <t>DRV_37</t>
        </is>
      </c>
      <c r="C249" s="35" t="inlineStr">
        <is>
          <t>Grogol</t>
        </is>
      </c>
      <c r="D249" s="35" t="inlineStr">
        <is>
          <t>Mitra LM 2W</t>
        </is>
      </c>
      <c r="E249" s="35" t="n">
        <v>88</v>
      </c>
      <c r="F249" s="35" t="n">
        <v>88</v>
      </c>
      <c r="G249" s="35" t="n">
        <v>0</v>
      </c>
      <c r="H249" s="35" t="n">
        <v>0</v>
      </c>
      <c r="I249" s="35" t="n">
        <f>E249-SUM(F249:H249)</f>
        <v>0</v>
      </c>
      <c r="J249" s="36" t="n">
        <f>IFERROR(F249/E249,0)</f>
        <v>1</v>
      </c>
    </row>
    <row r="250">
      <c r="A250" s="34" t="n">
        <v>46301</v>
      </c>
      <c r="B250" s="35" t="inlineStr">
        <is>
          <t>DRV_38</t>
        </is>
      </c>
      <c r="C250" s="35" t="inlineStr">
        <is>
          <t>Grogol</t>
        </is>
      </c>
      <c r="D250" s="35" t="inlineStr">
        <is>
          <t>Mitra LM 2W</t>
        </is>
      </c>
      <c r="E250" s="35" t="n">
        <v>143</v>
      </c>
      <c r="F250" s="35" t="n">
        <v>143</v>
      </c>
      <c r="G250" s="35" t="n">
        <v>0</v>
      </c>
      <c r="H250" s="35" t="n">
        <v>0</v>
      </c>
      <c r="I250" s="35" t="n">
        <f>E250-SUM(F250:H250)</f>
        <v>0</v>
      </c>
      <c r="J250" s="36" t="n">
        <f>IFERROR(F250/E250,0)</f>
        <v>1</v>
      </c>
    </row>
    <row r="251">
      <c r="A251" s="34" t="n">
        <v>46301</v>
      </c>
      <c r="B251" s="35" t="inlineStr">
        <is>
          <t>DRV_39</t>
        </is>
      </c>
      <c r="C251" s="35" t="inlineStr">
        <is>
          <t>Pangkalan Jati Lama</t>
        </is>
      </c>
      <c r="D251" s="35" t="inlineStr">
        <is>
          <t>Dedicated LM 2W</t>
        </is>
      </c>
      <c r="E251" s="35" t="n">
        <v>140</v>
      </c>
      <c r="F251" s="35" t="n">
        <v>140</v>
      </c>
      <c r="G251" s="35" t="n">
        <v>0</v>
      </c>
      <c r="H251" s="35" t="n">
        <v>0</v>
      </c>
      <c r="I251" s="35" t="n">
        <f>E251-SUM(F251:H251)</f>
        <v>0</v>
      </c>
      <c r="J251" s="36" t="n">
        <f>IFERROR(F251/E251,0)</f>
        <v>1</v>
      </c>
    </row>
    <row r="252">
      <c r="A252" s="34" t="n">
        <v>46301</v>
      </c>
      <c r="B252" s="35" t="inlineStr">
        <is>
          <t>DRV_42</t>
        </is>
      </c>
      <c r="C252" s="35" t="inlineStr">
        <is>
          <t>Grogol</t>
        </is>
      </c>
      <c r="D252" s="35" t="inlineStr">
        <is>
          <t>Mitra LM 2W</t>
        </is>
      </c>
      <c r="E252" s="35" t="n">
        <v>75</v>
      </c>
      <c r="F252" s="35" t="n">
        <v>75</v>
      </c>
      <c r="G252" s="35" t="n">
        <v>0</v>
      </c>
      <c r="H252" s="35" t="n">
        <v>0</v>
      </c>
      <c r="I252" s="35" t="n">
        <f>E252-SUM(F252:H252)</f>
        <v>0</v>
      </c>
      <c r="J252" s="36" t="n">
        <f>IFERROR(F252/E252,0)</f>
        <v>1</v>
      </c>
    </row>
    <row r="253">
      <c r="A253" s="34" t="n">
        <v>46301</v>
      </c>
      <c r="B253" s="35" t="inlineStr">
        <is>
          <t>DRV_43</t>
        </is>
      </c>
      <c r="C253" s="35" t="inlineStr">
        <is>
          <t>Meruyung</t>
        </is>
      </c>
      <c r="D253" s="35" t="inlineStr">
        <is>
          <t>Mitra LM 2W</t>
        </is>
      </c>
      <c r="E253" s="35" t="n">
        <v>68</v>
      </c>
      <c r="F253" s="35" t="n">
        <v>68</v>
      </c>
      <c r="G253" s="35" t="n">
        <v>0</v>
      </c>
      <c r="H253" s="35" t="n">
        <v>0</v>
      </c>
      <c r="I253" s="35" t="n">
        <f>E253-SUM(F253:H253)</f>
        <v>0</v>
      </c>
      <c r="J253" s="36" t="n">
        <f>IFERROR(F253/E253,0)</f>
        <v>1</v>
      </c>
    </row>
    <row r="254">
      <c r="A254" s="34" t="n">
        <v>46301</v>
      </c>
      <c r="B254" s="35" t="inlineStr">
        <is>
          <t>DRV_44</t>
        </is>
      </c>
      <c r="C254" s="35" t="inlineStr">
        <is>
          <t>Pangkalan Jati Lama</t>
        </is>
      </c>
      <c r="D254" s="35" t="inlineStr">
        <is>
          <t>Dedicated LM 2W</t>
        </is>
      </c>
      <c r="E254" s="35" t="n">
        <v>159</v>
      </c>
      <c r="F254" s="35" t="n">
        <v>159</v>
      </c>
      <c r="G254" s="35" t="n">
        <v>0</v>
      </c>
      <c r="H254" s="35" t="n">
        <v>0</v>
      </c>
      <c r="I254" s="35" t="n">
        <f>E254-SUM(F254:H254)</f>
        <v>0</v>
      </c>
      <c r="J254" s="36" t="n">
        <f>IFERROR(F254/E254,0)</f>
        <v>1</v>
      </c>
    </row>
    <row r="255">
      <c r="A255" s="34" t="n">
        <v>46301</v>
      </c>
      <c r="B255" s="35" t="inlineStr">
        <is>
          <t>DRV_45</t>
        </is>
      </c>
      <c r="C255" s="35" t="inlineStr">
        <is>
          <t>Krukut</t>
        </is>
      </c>
      <c r="D255" s="35" t="inlineStr">
        <is>
          <t>Mitra LM 2W</t>
        </is>
      </c>
      <c r="E255" s="35" t="n">
        <v>90</v>
      </c>
      <c r="F255" s="35" t="n">
        <v>90</v>
      </c>
      <c r="G255" s="35" t="n">
        <v>0</v>
      </c>
      <c r="H255" s="35" t="n">
        <v>0</v>
      </c>
      <c r="I255" s="35" t="n">
        <f>E255-SUM(F255:H255)</f>
        <v>0</v>
      </c>
      <c r="J255" s="36" t="n">
        <f>IFERROR(F255/E255,0)</f>
        <v>1</v>
      </c>
    </row>
    <row r="256">
      <c r="A256" s="34" t="n">
        <v>46301</v>
      </c>
      <c r="B256" s="35" t="inlineStr">
        <is>
          <t>DRV_46</t>
        </is>
      </c>
      <c r="C256" s="35" t="inlineStr">
        <is>
          <t>Pangkalan Jati Lama</t>
        </is>
      </c>
      <c r="D256" s="35" t="inlineStr">
        <is>
          <t>Mitra LM 2W</t>
        </is>
      </c>
      <c r="E256" s="35" t="n">
        <v>46</v>
      </c>
      <c r="F256" s="35" t="n">
        <v>46</v>
      </c>
      <c r="G256" s="35" t="n">
        <v>0</v>
      </c>
      <c r="H256" s="35" t="n">
        <v>0</v>
      </c>
      <c r="I256" s="35" t="n">
        <f>E256-SUM(F256:H256)</f>
        <v>0</v>
      </c>
      <c r="J256" s="36" t="n">
        <f>IFERROR(F256/E256,0)</f>
        <v>1</v>
      </c>
    </row>
    <row r="257">
      <c r="A257" s="34" t="n">
        <v>46301</v>
      </c>
      <c r="B257" s="35" t="inlineStr">
        <is>
          <t>DRV_47</t>
        </is>
      </c>
      <c r="C257" s="35" t="inlineStr">
        <is>
          <t>Limo</t>
        </is>
      </c>
      <c r="D257" s="35" t="inlineStr">
        <is>
          <t>Dedicated LM 2W</t>
        </is>
      </c>
      <c r="E257" s="35" t="n">
        <v>147</v>
      </c>
      <c r="F257" s="35" t="n">
        <v>147</v>
      </c>
      <c r="G257" s="35" t="n">
        <v>0</v>
      </c>
      <c r="H257" s="35" t="n">
        <v>0</v>
      </c>
      <c r="I257" s="35" t="n">
        <f>E257-SUM(F257:H257)</f>
        <v>0</v>
      </c>
      <c r="J257" s="36" t="n">
        <f>IFERROR(F257/E257,0)</f>
        <v>1</v>
      </c>
    </row>
    <row r="258">
      <c r="A258" s="34" t="n">
        <v>46301</v>
      </c>
      <c r="B258" s="35" t="inlineStr">
        <is>
          <t>DRV_48</t>
        </is>
      </c>
      <c r="C258" s="35" t="inlineStr">
        <is>
          <t>Pangkalan Jati Baru</t>
        </is>
      </c>
      <c r="D258" s="35" t="inlineStr">
        <is>
          <t>Mitra LM 2W</t>
        </is>
      </c>
      <c r="E258" s="35" t="n">
        <v>31</v>
      </c>
      <c r="F258" s="35" t="n">
        <v>31</v>
      </c>
      <c r="G258" s="35" t="n">
        <v>0</v>
      </c>
      <c r="H258" s="35" t="n">
        <v>0</v>
      </c>
      <c r="I258" s="35" t="n">
        <f>E258-SUM(F258:H258)</f>
        <v>0</v>
      </c>
      <c r="J258" s="36" t="n">
        <f>IFERROR(F258/E258,0)</f>
        <v>1</v>
      </c>
    </row>
    <row r="259">
      <c r="A259" s="34" t="n">
        <v>46301</v>
      </c>
      <c r="B259" s="35" t="inlineStr">
        <is>
          <t>DRV_49</t>
        </is>
      </c>
      <c r="C259" s="35" t="inlineStr">
        <is>
          <t>Limo</t>
        </is>
      </c>
      <c r="D259" s="35" t="inlineStr">
        <is>
          <t>Mitra LM 2W</t>
        </is>
      </c>
      <c r="E259" s="35" t="n">
        <v>76</v>
      </c>
      <c r="F259" s="35" t="n">
        <v>76</v>
      </c>
      <c r="G259" s="35" t="n">
        <v>0</v>
      </c>
      <c r="H259" s="35" t="n">
        <v>0</v>
      </c>
      <c r="I259" s="35" t="n">
        <f>E259-SUM(F259:H259)</f>
        <v>0</v>
      </c>
      <c r="J259" s="36" t="n">
        <f>IFERROR(F259/E259,0)</f>
        <v>1</v>
      </c>
    </row>
    <row r="260">
      <c r="A260" s="34" t="n">
        <v>46301</v>
      </c>
      <c r="B260" s="35" t="inlineStr">
        <is>
          <t>DRV_50</t>
        </is>
      </c>
      <c r="C260" s="35" t="inlineStr">
        <is>
          <t>Pangkalan Jati Baru</t>
        </is>
      </c>
      <c r="D260" s="35" t="inlineStr">
        <is>
          <t>Dedicated LM 2W</t>
        </is>
      </c>
      <c r="E260" s="35" t="n">
        <v>168</v>
      </c>
      <c r="F260" s="35" t="n">
        <v>168</v>
      </c>
      <c r="G260" s="35" t="n">
        <v>0</v>
      </c>
      <c r="H260" s="35" t="n">
        <v>0</v>
      </c>
      <c r="I260" s="35" t="n">
        <f>E260-SUM(F260:H260)</f>
        <v>0</v>
      </c>
      <c r="J260" s="36" t="n">
        <f>IFERROR(F260/E260,0)</f>
        <v>1</v>
      </c>
    </row>
    <row r="261">
      <c r="A261" s="34" t="n">
        <v>46301</v>
      </c>
      <c r="B261" s="35" t="inlineStr">
        <is>
          <t>DRV_51</t>
        </is>
      </c>
      <c r="C261" s="35" t="inlineStr">
        <is>
          <t>GANDUL</t>
        </is>
      </c>
      <c r="D261" s="35" t="inlineStr">
        <is>
          <t>Mitra LM 2W</t>
        </is>
      </c>
      <c r="E261" s="35" t="n">
        <v>83</v>
      </c>
      <c r="F261" s="35" t="n">
        <v>83</v>
      </c>
      <c r="G261" s="35" t="n">
        <v>0</v>
      </c>
      <c r="H261" s="35" t="n">
        <v>0</v>
      </c>
      <c r="I261" s="35" t="n">
        <f>E261-SUM(F261:H261)</f>
        <v>0</v>
      </c>
      <c r="J261" s="36" t="n">
        <f>IFERROR(F261/E261,0)</f>
        <v>1</v>
      </c>
    </row>
    <row r="262">
      <c r="A262" s="34" t="n">
        <v>46301</v>
      </c>
      <c r="B262" s="35" t="inlineStr">
        <is>
          <t>DRV_52</t>
        </is>
      </c>
      <c r="C262" s="35" t="inlineStr">
        <is>
          <t>Grogol</t>
        </is>
      </c>
      <c r="D262" s="35" t="inlineStr">
        <is>
          <t>Dedicated LM 2W</t>
        </is>
      </c>
      <c r="E262" s="35" t="n">
        <v>140</v>
      </c>
      <c r="F262" s="35" t="n">
        <v>140</v>
      </c>
      <c r="G262" s="35" t="n">
        <v>0</v>
      </c>
      <c r="H262" s="35" t="n">
        <v>0</v>
      </c>
      <c r="I262" s="35" t="n">
        <f>E262-SUM(F262:H262)</f>
        <v>0</v>
      </c>
      <c r="J262" s="36" t="n">
        <f>IFERROR(F262/E262,0)</f>
        <v>1</v>
      </c>
    </row>
    <row r="263">
      <c r="A263" s="34" t="n">
        <v>46301</v>
      </c>
      <c r="B263" s="35" t="inlineStr">
        <is>
          <t>DRV_54</t>
        </is>
      </c>
      <c r="C263" s="35" t="inlineStr">
        <is>
          <t>GANDUL</t>
        </is>
      </c>
      <c r="D263" s="35" t="inlineStr">
        <is>
          <t>Dedicated LM 2W</t>
        </is>
      </c>
      <c r="E263" s="35" t="n">
        <v>145</v>
      </c>
      <c r="F263" s="35" t="n">
        <v>145</v>
      </c>
      <c r="G263" s="35" t="n">
        <v>0</v>
      </c>
      <c r="H263" s="35" t="n">
        <v>0</v>
      </c>
      <c r="I263" s="35" t="n">
        <f>E263-SUM(F263:H263)</f>
        <v>0</v>
      </c>
      <c r="J263" s="36" t="n">
        <f>IFERROR(F263/E263,0)</f>
        <v>1</v>
      </c>
    </row>
    <row r="264">
      <c r="A264" s="34" t="n">
        <v>46301</v>
      </c>
      <c r="B264" s="35" t="inlineStr">
        <is>
          <t>DRV_55</t>
        </is>
      </c>
      <c r="C264" s="35" t="inlineStr">
        <is>
          <t>CINERE</t>
        </is>
      </c>
      <c r="D264" s="35" t="inlineStr">
        <is>
          <t>Mitra LM 2W</t>
        </is>
      </c>
      <c r="E264" s="35" t="n">
        <v>84</v>
      </c>
      <c r="F264" s="35" t="n">
        <v>84</v>
      </c>
      <c r="G264" s="35" t="n">
        <v>0</v>
      </c>
      <c r="H264" s="35" t="n">
        <v>0</v>
      </c>
      <c r="I264" s="35" t="n">
        <f>E264-SUM(F264:H264)</f>
        <v>0</v>
      </c>
      <c r="J264" s="36" t="n">
        <f>IFERROR(F264/E264,0)</f>
        <v>1</v>
      </c>
    </row>
    <row r="265">
      <c r="A265" s="34" t="n">
        <v>46301</v>
      </c>
      <c r="B265" s="35" t="inlineStr">
        <is>
          <t>DRV_56</t>
        </is>
      </c>
      <c r="C265" s="35" t="inlineStr">
        <is>
          <t>Pangkalan Jati Baru</t>
        </is>
      </c>
      <c r="D265" s="35" t="inlineStr">
        <is>
          <t>Mitra LM 2W</t>
        </is>
      </c>
      <c r="E265" s="35" t="n">
        <v>69</v>
      </c>
      <c r="F265" s="35" t="n">
        <v>69</v>
      </c>
      <c r="G265" s="35" t="n">
        <v>0</v>
      </c>
      <c r="H265" s="35" t="n">
        <v>0</v>
      </c>
      <c r="I265" s="35" t="n">
        <f>E265-SUM(F265:H265)</f>
        <v>0</v>
      </c>
      <c r="J265" s="36" t="n">
        <f>IFERROR(F265/E265,0)</f>
        <v>1</v>
      </c>
    </row>
    <row r="266">
      <c r="A266" s="34" t="n">
        <v>46301</v>
      </c>
      <c r="B266" s="35" t="inlineStr">
        <is>
          <t>DRV_57</t>
        </is>
      </c>
      <c r="C266" s="35" t="inlineStr">
        <is>
          <t>Pangkalan Jati Lama</t>
        </is>
      </c>
      <c r="D266" s="35" t="inlineStr">
        <is>
          <t>Mitra LM 2W</t>
        </is>
      </c>
      <c r="E266" s="35" t="n">
        <v>76</v>
      </c>
      <c r="F266" s="35" t="n">
        <v>76</v>
      </c>
      <c r="G266" s="35" t="n">
        <v>0</v>
      </c>
      <c r="H266" s="35" t="n">
        <v>0</v>
      </c>
      <c r="I266" s="35" t="n">
        <f>E266-SUM(F266:H266)</f>
        <v>0</v>
      </c>
      <c r="J266" s="36" t="n">
        <f>IFERROR(F266/E266,0)</f>
        <v>1</v>
      </c>
    </row>
    <row r="267">
      <c r="A267" s="34" t="n">
        <v>46301</v>
      </c>
      <c r="B267" s="35" t="inlineStr">
        <is>
          <t>DRV_58</t>
        </is>
      </c>
      <c r="C267" s="35" t="inlineStr">
        <is>
          <t>Krukut</t>
        </is>
      </c>
      <c r="D267" s="35" t="inlineStr">
        <is>
          <t>Mitra LM 2W</t>
        </is>
      </c>
      <c r="E267" s="35" t="n">
        <v>124</v>
      </c>
      <c r="F267" s="35" t="n">
        <v>124</v>
      </c>
      <c r="G267" s="35" t="n">
        <v>0</v>
      </c>
      <c r="H267" s="35" t="n">
        <v>0</v>
      </c>
      <c r="I267" s="35" t="n">
        <f>E267-SUM(F267:H267)</f>
        <v>0</v>
      </c>
      <c r="J267" s="36" t="n">
        <f>IFERROR(F267/E267,0)</f>
        <v>1</v>
      </c>
    </row>
    <row r="268">
      <c r="A268" s="34" t="n">
        <v>46302</v>
      </c>
      <c r="B268" s="35" t="inlineStr">
        <is>
          <t>DRV_03</t>
        </is>
      </c>
      <c r="C268" s="35" t="inlineStr">
        <is>
          <t>GANDUL</t>
        </is>
      </c>
      <c r="D268" s="35" t="inlineStr">
        <is>
          <t>Mitra LM 2W</t>
        </is>
      </c>
      <c r="E268" s="35" t="n">
        <v>112</v>
      </c>
      <c r="F268" s="35" t="n">
        <v>112</v>
      </c>
      <c r="G268" s="35" t="n">
        <v>0</v>
      </c>
      <c r="H268" s="35" t="n">
        <v>0</v>
      </c>
      <c r="I268" s="35" t="n">
        <f>E268-SUM(F268:H268)</f>
        <v>0</v>
      </c>
      <c r="J268" s="36" t="n">
        <f>IFERROR(F268/E268,0)</f>
        <v>1</v>
      </c>
    </row>
    <row r="269">
      <c r="A269" s="34" t="n">
        <v>46302</v>
      </c>
      <c r="B269" s="35" t="inlineStr">
        <is>
          <t>DRV_04</t>
        </is>
      </c>
      <c r="C269" s="35" t="inlineStr">
        <is>
          <t>Limo</t>
        </is>
      </c>
      <c r="D269" s="35" t="inlineStr">
        <is>
          <t>Mitra LM 2W</t>
        </is>
      </c>
      <c r="E269" s="35" t="n">
        <v>63</v>
      </c>
      <c r="F269" s="35" t="n">
        <v>63</v>
      </c>
      <c r="G269" s="35" t="n">
        <v>0</v>
      </c>
      <c r="H269" s="35" t="n">
        <v>0</v>
      </c>
      <c r="I269" s="35" t="n">
        <f>E269-SUM(F269:H269)</f>
        <v>0</v>
      </c>
      <c r="J269" s="36" t="n">
        <f>IFERROR(F269/E269,0)</f>
        <v>1</v>
      </c>
    </row>
    <row r="270">
      <c r="A270" s="34" t="n">
        <v>46302</v>
      </c>
      <c r="B270" s="35" t="inlineStr">
        <is>
          <t>DRV_05</t>
        </is>
      </c>
      <c r="C270" s="35" t="inlineStr">
        <is>
          <t>GANDUL</t>
        </is>
      </c>
      <c r="D270" s="35" t="inlineStr">
        <is>
          <t>Mitra LM 2W</t>
        </is>
      </c>
      <c r="E270" s="35" t="n">
        <v>79</v>
      </c>
      <c r="F270" s="35" t="n">
        <v>79</v>
      </c>
      <c r="G270" s="35" t="n">
        <v>0</v>
      </c>
      <c r="H270" s="35" t="n">
        <v>0</v>
      </c>
      <c r="I270" s="35" t="n">
        <f>E270-SUM(F270:H270)</f>
        <v>0</v>
      </c>
      <c r="J270" s="36" t="n">
        <f>IFERROR(F270/E270,0)</f>
        <v>1</v>
      </c>
    </row>
    <row r="271">
      <c r="A271" s="34" t="n">
        <v>46302</v>
      </c>
      <c r="B271" s="35" t="inlineStr">
        <is>
          <t>DRV_06</t>
        </is>
      </c>
      <c r="C271" s="35" t="inlineStr">
        <is>
          <t>Grogol</t>
        </is>
      </c>
      <c r="D271" s="35" t="inlineStr">
        <is>
          <t>Mitra LM 2W</t>
        </is>
      </c>
      <c r="E271" s="35" t="n">
        <v>112</v>
      </c>
      <c r="F271" s="35" t="n">
        <v>112</v>
      </c>
      <c r="G271" s="35" t="n">
        <v>0</v>
      </c>
      <c r="H271" s="35" t="n">
        <v>0</v>
      </c>
      <c r="I271" s="35" t="n">
        <f>E271-SUM(F271:H271)</f>
        <v>0</v>
      </c>
      <c r="J271" s="36" t="n">
        <f>IFERROR(F271/E271,0)</f>
        <v>1</v>
      </c>
    </row>
    <row r="272">
      <c r="A272" s="34" t="n">
        <v>46302</v>
      </c>
      <c r="B272" s="35" t="inlineStr">
        <is>
          <t>DRV_07</t>
        </is>
      </c>
      <c r="C272" s="35" t="inlineStr">
        <is>
          <t>CINERE</t>
        </is>
      </c>
      <c r="D272" s="35" t="inlineStr">
        <is>
          <t>Mitra LM 2W</t>
        </is>
      </c>
      <c r="E272" s="35" t="n">
        <v>78</v>
      </c>
      <c r="F272" s="35" t="n">
        <v>78</v>
      </c>
      <c r="G272" s="35" t="n">
        <v>0</v>
      </c>
      <c r="H272" s="35" t="n">
        <v>0</v>
      </c>
      <c r="I272" s="35" t="n">
        <f>E272-SUM(F272:H272)</f>
        <v>0</v>
      </c>
      <c r="J272" s="36" t="n">
        <f>IFERROR(F272/E272,0)</f>
        <v>1</v>
      </c>
    </row>
    <row r="273">
      <c r="A273" s="34" t="n">
        <v>46302</v>
      </c>
      <c r="B273" s="35" t="inlineStr">
        <is>
          <t>DRV_08</t>
        </is>
      </c>
      <c r="C273" s="35" t="inlineStr">
        <is>
          <t>CINERE</t>
        </is>
      </c>
      <c r="D273" s="35" t="inlineStr">
        <is>
          <t>Mitra LM 2W</t>
        </is>
      </c>
      <c r="E273" s="35" t="n">
        <v>60</v>
      </c>
      <c r="F273" s="35" t="n">
        <v>60</v>
      </c>
      <c r="G273" s="35" t="n">
        <v>0</v>
      </c>
      <c r="H273" s="35" t="n">
        <v>0</v>
      </c>
      <c r="I273" s="35" t="n">
        <f>E273-SUM(F273:H273)</f>
        <v>0</v>
      </c>
      <c r="J273" s="36" t="n">
        <f>IFERROR(F273/E273,0)</f>
        <v>1</v>
      </c>
    </row>
    <row r="274">
      <c r="A274" s="34" t="n">
        <v>46302</v>
      </c>
      <c r="B274" s="35" t="inlineStr">
        <is>
          <t>DRV_10</t>
        </is>
      </c>
      <c r="C274" s="35" t="inlineStr">
        <is>
          <t>Meruyung</t>
        </is>
      </c>
      <c r="D274" s="35" t="inlineStr">
        <is>
          <t>Mitra LM 2W</t>
        </is>
      </c>
      <c r="E274" s="35" t="n">
        <v>98</v>
      </c>
      <c r="F274" s="35" t="n">
        <v>98</v>
      </c>
      <c r="G274" s="35" t="n">
        <v>0</v>
      </c>
      <c r="H274" s="35" t="n">
        <v>0</v>
      </c>
      <c r="I274" s="35" t="n">
        <f>E274-SUM(F274:H274)</f>
        <v>0</v>
      </c>
      <c r="J274" s="36" t="n">
        <f>IFERROR(F274/E274,0)</f>
        <v>1</v>
      </c>
    </row>
    <row r="275">
      <c r="A275" s="34" t="n">
        <v>46302</v>
      </c>
      <c r="B275" s="35" t="inlineStr">
        <is>
          <t>DRV_11</t>
        </is>
      </c>
      <c r="C275" s="35" t="inlineStr">
        <is>
          <t>Grogol</t>
        </is>
      </c>
      <c r="D275" s="35" t="inlineStr">
        <is>
          <t>Mitra LM 2W</t>
        </is>
      </c>
      <c r="E275" s="35" t="n">
        <v>88</v>
      </c>
      <c r="F275" s="35" t="n">
        <v>88</v>
      </c>
      <c r="G275" s="35" t="n">
        <v>0</v>
      </c>
      <c r="H275" s="35" t="n">
        <v>0</v>
      </c>
      <c r="I275" s="35" t="n">
        <f>E275-SUM(F275:H275)</f>
        <v>0</v>
      </c>
      <c r="J275" s="36" t="n">
        <f>IFERROR(F275/E275,0)</f>
        <v>1</v>
      </c>
    </row>
    <row r="276">
      <c r="A276" s="34" t="n">
        <v>46302</v>
      </c>
      <c r="B276" s="35" t="inlineStr">
        <is>
          <t>DRV_12</t>
        </is>
      </c>
      <c r="C276" s="35" t="inlineStr">
        <is>
          <t>Pangkalan Jati Baru</t>
        </is>
      </c>
      <c r="D276" s="35" t="inlineStr">
        <is>
          <t>Mitra LM 2W</t>
        </is>
      </c>
      <c r="E276" s="35" t="n">
        <v>106</v>
      </c>
      <c r="F276" s="35" t="n">
        <v>106</v>
      </c>
      <c r="G276" s="35" t="n">
        <v>0</v>
      </c>
      <c r="H276" s="35" t="n">
        <v>0</v>
      </c>
      <c r="I276" s="35" t="n">
        <f>E276-SUM(F276:H276)</f>
        <v>0</v>
      </c>
      <c r="J276" s="36" t="n">
        <f>IFERROR(F276/E276,0)</f>
        <v>1</v>
      </c>
    </row>
    <row r="277">
      <c r="A277" s="34" t="n">
        <v>46302</v>
      </c>
      <c r="B277" s="35" t="inlineStr">
        <is>
          <t>DRV_13</t>
        </is>
      </c>
      <c r="C277" s="35" t="inlineStr">
        <is>
          <t>CINERE</t>
        </is>
      </c>
      <c r="D277" s="35" t="inlineStr">
        <is>
          <t>Mitra LM 2W</t>
        </is>
      </c>
      <c r="E277" s="35" t="n">
        <v>141</v>
      </c>
      <c r="F277" s="35" t="n">
        <v>141</v>
      </c>
      <c r="G277" s="35" t="n">
        <v>0</v>
      </c>
      <c r="H277" s="35" t="n">
        <v>0</v>
      </c>
      <c r="I277" s="35" t="n">
        <f>E277-SUM(F277:H277)</f>
        <v>0</v>
      </c>
      <c r="J277" s="36" t="n">
        <f>IFERROR(F277/E277,0)</f>
        <v>1</v>
      </c>
    </row>
    <row r="278">
      <c r="A278" s="34" t="n">
        <v>46302</v>
      </c>
      <c r="B278" s="35" t="inlineStr">
        <is>
          <t>DRV_14</t>
        </is>
      </c>
      <c r="C278" s="35" t="inlineStr">
        <is>
          <t>CINERE</t>
        </is>
      </c>
      <c r="D278" s="35" t="inlineStr">
        <is>
          <t>Dedicated LM 2W</t>
        </is>
      </c>
      <c r="E278" s="35" t="n">
        <v>160</v>
      </c>
      <c r="F278" s="35" t="n">
        <v>160</v>
      </c>
      <c r="G278" s="35" t="n">
        <v>0</v>
      </c>
      <c r="H278" s="35" t="n">
        <v>0</v>
      </c>
      <c r="I278" s="35" t="n">
        <f>E278-SUM(F278:H278)</f>
        <v>0</v>
      </c>
      <c r="J278" s="36" t="n">
        <f>IFERROR(F278/E278,0)</f>
        <v>1</v>
      </c>
    </row>
    <row r="279">
      <c r="A279" s="34" t="n">
        <v>46302</v>
      </c>
      <c r="B279" s="35" t="inlineStr">
        <is>
          <t>DRV_15</t>
        </is>
      </c>
      <c r="C279" s="35" t="inlineStr">
        <is>
          <t>Krukut</t>
        </is>
      </c>
      <c r="D279" s="35" t="inlineStr">
        <is>
          <t>Mitra LM 2W</t>
        </is>
      </c>
      <c r="E279" s="35" t="n">
        <v>119</v>
      </c>
      <c r="F279" s="35" t="n">
        <v>119</v>
      </c>
      <c r="G279" s="35" t="n">
        <v>0</v>
      </c>
      <c r="H279" s="35" t="n">
        <v>0</v>
      </c>
      <c r="I279" s="35" t="n">
        <f>E279-SUM(F279:H279)</f>
        <v>0</v>
      </c>
      <c r="J279" s="36" t="n">
        <f>IFERROR(F279/E279,0)</f>
        <v>1</v>
      </c>
    </row>
    <row r="280">
      <c r="A280" s="34" t="n">
        <v>46302</v>
      </c>
      <c r="B280" s="35" t="inlineStr">
        <is>
          <t>DRV_16</t>
        </is>
      </c>
      <c r="C280" s="35" t="inlineStr">
        <is>
          <t>Meruyung</t>
        </is>
      </c>
      <c r="D280" s="35" t="inlineStr">
        <is>
          <t>Mitra LM 2W</t>
        </is>
      </c>
      <c r="E280" s="35" t="n">
        <v>92</v>
      </c>
      <c r="F280" s="35" t="n">
        <v>92</v>
      </c>
      <c r="G280" s="35" t="n">
        <v>0</v>
      </c>
      <c r="H280" s="35" t="n">
        <v>0</v>
      </c>
      <c r="I280" s="35" t="n">
        <f>E280-SUM(F280:H280)</f>
        <v>0</v>
      </c>
      <c r="J280" s="36" t="n">
        <f>IFERROR(F280/E280,0)</f>
        <v>1</v>
      </c>
    </row>
    <row r="281">
      <c r="A281" s="34" t="n">
        <v>46302</v>
      </c>
      <c r="B281" s="35" t="inlineStr">
        <is>
          <t>DRV_17</t>
        </is>
      </c>
      <c r="C281" s="35" t="inlineStr">
        <is>
          <t>Krukut</t>
        </is>
      </c>
      <c r="D281" s="35" t="inlineStr">
        <is>
          <t>Dedicated LM 2W</t>
        </is>
      </c>
      <c r="E281" s="35" t="n">
        <v>174</v>
      </c>
      <c r="F281" s="35" t="n">
        <v>174</v>
      </c>
      <c r="G281" s="35" t="n">
        <v>0</v>
      </c>
      <c r="H281" s="35" t="n">
        <v>0</v>
      </c>
      <c r="I281" s="35" t="n">
        <f>E281-SUM(F281:H281)</f>
        <v>0</v>
      </c>
      <c r="J281" s="36" t="n">
        <f>IFERROR(F281/E281,0)</f>
        <v>1</v>
      </c>
    </row>
    <row r="282">
      <c r="A282" s="34" t="n">
        <v>46302</v>
      </c>
      <c r="B282" s="35" t="inlineStr">
        <is>
          <t>DRV_18</t>
        </is>
      </c>
      <c r="C282" s="35" t="inlineStr">
        <is>
          <t>Meruyung</t>
        </is>
      </c>
      <c r="D282" s="35" t="inlineStr">
        <is>
          <t>Mitra LM 2W</t>
        </is>
      </c>
      <c r="E282" s="35" t="n">
        <v>129</v>
      </c>
      <c r="F282" s="35" t="n">
        <v>129</v>
      </c>
      <c r="G282" s="35" t="n">
        <v>0</v>
      </c>
      <c r="H282" s="35" t="n">
        <v>0</v>
      </c>
      <c r="I282" s="35" t="n">
        <f>E282-SUM(F282:H282)</f>
        <v>0</v>
      </c>
      <c r="J282" s="36" t="n">
        <f>IFERROR(F282/E282,0)</f>
        <v>1</v>
      </c>
    </row>
    <row r="283">
      <c r="A283" s="34" t="n">
        <v>46302</v>
      </c>
      <c r="B283" s="35" t="inlineStr">
        <is>
          <t>DRV_19</t>
        </is>
      </c>
      <c r="C283" s="35" t="inlineStr">
        <is>
          <t>Meruyung</t>
        </is>
      </c>
      <c r="D283" s="35" t="inlineStr">
        <is>
          <t>Mitra LM 2W</t>
        </is>
      </c>
      <c r="E283" s="35" t="n">
        <v>84</v>
      </c>
      <c r="F283" s="35" t="n">
        <v>84</v>
      </c>
      <c r="G283" s="35" t="n">
        <v>0</v>
      </c>
      <c r="H283" s="35" t="n">
        <v>0</v>
      </c>
      <c r="I283" s="35" t="n">
        <f>E283-SUM(F283:H283)</f>
        <v>0</v>
      </c>
      <c r="J283" s="36" t="n">
        <f>IFERROR(F283/E283,0)</f>
        <v>1</v>
      </c>
    </row>
    <row r="284">
      <c r="A284" s="34" t="n">
        <v>46302</v>
      </c>
      <c r="B284" s="35" t="inlineStr">
        <is>
          <t>DRV_20</t>
        </is>
      </c>
      <c r="C284" s="35" t="inlineStr">
        <is>
          <t>Krukut</t>
        </is>
      </c>
      <c r="D284" s="35" t="inlineStr">
        <is>
          <t>Mitra LM 2W</t>
        </is>
      </c>
      <c r="E284" s="35" t="n">
        <v>138</v>
      </c>
      <c r="F284" s="35" t="n">
        <v>138</v>
      </c>
      <c r="G284" s="35" t="n">
        <v>0</v>
      </c>
      <c r="H284" s="35" t="n">
        <v>0</v>
      </c>
      <c r="I284" s="35" t="n">
        <f>E284-SUM(F284:H284)</f>
        <v>0</v>
      </c>
      <c r="J284" s="36" t="n">
        <f>IFERROR(F284/E284,0)</f>
        <v>1</v>
      </c>
    </row>
    <row r="285">
      <c r="A285" s="34" t="n">
        <v>46302</v>
      </c>
      <c r="B285" s="35" t="inlineStr">
        <is>
          <t>DRV_21</t>
        </is>
      </c>
      <c r="C285" s="35" t="inlineStr">
        <is>
          <t>Grogol</t>
        </is>
      </c>
      <c r="D285" s="35" t="inlineStr">
        <is>
          <t>Dedicated LM 2W</t>
        </is>
      </c>
      <c r="E285" s="35" t="n">
        <v>130</v>
      </c>
      <c r="F285" s="35" t="n">
        <v>130</v>
      </c>
      <c r="G285" s="35" t="n">
        <v>0</v>
      </c>
      <c r="H285" s="35" t="n">
        <v>0</v>
      </c>
      <c r="I285" s="35" t="n">
        <f>E285-SUM(F285:H285)</f>
        <v>0</v>
      </c>
      <c r="J285" s="36" t="n">
        <f>IFERROR(F285/E285,0)</f>
        <v>1</v>
      </c>
    </row>
    <row r="286">
      <c r="A286" s="34" t="n">
        <v>46302</v>
      </c>
      <c r="B286" s="35" t="inlineStr">
        <is>
          <t>DRV_22</t>
        </is>
      </c>
      <c r="C286" s="35" t="inlineStr">
        <is>
          <t>Limo</t>
        </is>
      </c>
      <c r="D286" s="35" t="inlineStr">
        <is>
          <t>Mitra LM 2W</t>
        </is>
      </c>
      <c r="E286" s="35" t="n">
        <v>99</v>
      </c>
      <c r="F286" s="35" t="n">
        <v>99</v>
      </c>
      <c r="G286" s="35" t="n">
        <v>0</v>
      </c>
      <c r="H286" s="35" t="n">
        <v>0</v>
      </c>
      <c r="I286" s="35" t="n">
        <f>E286-SUM(F286:H286)</f>
        <v>0</v>
      </c>
      <c r="J286" s="36" t="n">
        <f>IFERROR(F286/E286,0)</f>
        <v>1</v>
      </c>
    </row>
    <row r="287">
      <c r="A287" s="34" t="n">
        <v>46302</v>
      </c>
      <c r="B287" s="35" t="inlineStr">
        <is>
          <t>DRV_23</t>
        </is>
      </c>
      <c r="C287" s="35" t="inlineStr">
        <is>
          <t>Meruyung</t>
        </is>
      </c>
      <c r="D287" s="35" t="inlineStr">
        <is>
          <t>Mitra LM 2W</t>
        </is>
      </c>
      <c r="E287" s="35" t="n">
        <v>128</v>
      </c>
      <c r="F287" s="35" t="n">
        <v>128</v>
      </c>
      <c r="G287" s="35" t="n">
        <v>0</v>
      </c>
      <c r="H287" s="35" t="n">
        <v>0</v>
      </c>
      <c r="I287" s="35" t="n">
        <f>E287-SUM(F287:H287)</f>
        <v>0</v>
      </c>
      <c r="J287" s="36" t="n">
        <f>IFERROR(F287/E287,0)</f>
        <v>1</v>
      </c>
    </row>
    <row r="288">
      <c r="A288" s="34" t="n">
        <v>46302</v>
      </c>
      <c r="B288" s="35" t="inlineStr">
        <is>
          <t>DRV_24</t>
        </is>
      </c>
      <c r="C288" s="35" t="inlineStr">
        <is>
          <t>GANDUL</t>
        </is>
      </c>
      <c r="D288" s="35" t="inlineStr">
        <is>
          <t>Mitra LM 2W</t>
        </is>
      </c>
      <c r="E288" s="35" t="n">
        <v>140</v>
      </c>
      <c r="F288" s="35" t="n">
        <v>140</v>
      </c>
      <c r="G288" s="35" t="n">
        <v>0</v>
      </c>
      <c r="H288" s="35" t="n">
        <v>0</v>
      </c>
      <c r="I288" s="35" t="n">
        <f>E288-SUM(F288:H288)</f>
        <v>0</v>
      </c>
      <c r="J288" s="36" t="n">
        <f>IFERROR(F288/E288,0)</f>
        <v>1</v>
      </c>
    </row>
    <row r="289">
      <c r="A289" s="34" t="n">
        <v>46302</v>
      </c>
      <c r="B289" s="35" t="inlineStr">
        <is>
          <t>DRV_25</t>
        </is>
      </c>
      <c r="C289" s="35" t="inlineStr">
        <is>
          <t>CINERE</t>
        </is>
      </c>
      <c r="D289" s="35" t="inlineStr">
        <is>
          <t>Mitra LM 2W</t>
        </is>
      </c>
      <c r="E289" s="35" t="n">
        <v>59</v>
      </c>
      <c r="F289" s="35" t="n">
        <v>59</v>
      </c>
      <c r="G289" s="35" t="n">
        <v>0</v>
      </c>
      <c r="H289" s="35" t="n">
        <v>0</v>
      </c>
      <c r="I289" s="35" t="n">
        <f>E289-SUM(F289:H289)</f>
        <v>0</v>
      </c>
      <c r="J289" s="36" t="n">
        <f>IFERROR(F289/E289,0)</f>
        <v>1</v>
      </c>
    </row>
    <row r="290">
      <c r="A290" s="34" t="n">
        <v>46302</v>
      </c>
      <c r="B290" s="35" t="inlineStr">
        <is>
          <t>DRV_26</t>
        </is>
      </c>
      <c r="C290" s="35" t="inlineStr">
        <is>
          <t>Pangkalan Jati Baru</t>
        </is>
      </c>
      <c r="D290" s="35" t="inlineStr">
        <is>
          <t>Mitra LM 2W</t>
        </is>
      </c>
      <c r="E290" s="35" t="n">
        <v>132</v>
      </c>
      <c r="F290" s="35" t="n">
        <v>132</v>
      </c>
      <c r="G290" s="35" t="n">
        <v>0</v>
      </c>
      <c r="H290" s="35" t="n">
        <v>0</v>
      </c>
      <c r="I290" s="35" t="n">
        <f>E290-SUM(F290:H290)</f>
        <v>0</v>
      </c>
      <c r="J290" s="36" t="n">
        <f>IFERROR(F290/E290,0)</f>
        <v>1</v>
      </c>
    </row>
    <row r="291">
      <c r="A291" s="34" t="n">
        <v>46302</v>
      </c>
      <c r="B291" s="35" t="inlineStr">
        <is>
          <t>DRV_27</t>
        </is>
      </c>
      <c r="C291" s="35" t="inlineStr">
        <is>
          <t>Grogol</t>
        </is>
      </c>
      <c r="D291" s="35" t="inlineStr">
        <is>
          <t>Mitra LM 2W</t>
        </is>
      </c>
      <c r="E291" s="35" t="n">
        <v>114</v>
      </c>
      <c r="F291" s="35" t="n">
        <v>114</v>
      </c>
      <c r="G291" s="35" t="n">
        <v>0</v>
      </c>
      <c r="H291" s="35" t="n">
        <v>0</v>
      </c>
      <c r="I291" s="35" t="n">
        <f>E291-SUM(F291:H291)</f>
        <v>0</v>
      </c>
      <c r="J291" s="36" t="n">
        <f>IFERROR(F291/E291,0)</f>
        <v>1</v>
      </c>
    </row>
    <row r="292">
      <c r="A292" s="34" t="n">
        <v>46302</v>
      </c>
      <c r="B292" s="35" t="inlineStr">
        <is>
          <t>DRV_28</t>
        </is>
      </c>
      <c r="C292" s="35" t="inlineStr">
        <is>
          <t>Pangkalan Jati Lama</t>
        </is>
      </c>
      <c r="D292" s="35" t="inlineStr">
        <is>
          <t>Mitra LM 2W</t>
        </is>
      </c>
      <c r="E292" s="35" t="n">
        <v>133</v>
      </c>
      <c r="F292" s="35" t="n">
        <v>133</v>
      </c>
      <c r="G292" s="35" t="n">
        <v>0</v>
      </c>
      <c r="H292" s="35" t="n">
        <v>0</v>
      </c>
      <c r="I292" s="35" t="n">
        <f>E292-SUM(F292:H292)</f>
        <v>0</v>
      </c>
      <c r="J292" s="36" t="n">
        <f>IFERROR(F292/E292,0)</f>
        <v>1</v>
      </c>
    </row>
    <row r="293">
      <c r="A293" s="34" t="n">
        <v>46302</v>
      </c>
      <c r="B293" s="35" t="inlineStr">
        <is>
          <t>DRV_31</t>
        </is>
      </c>
      <c r="C293" s="35" t="inlineStr">
        <is>
          <t>Krukut</t>
        </is>
      </c>
      <c r="D293" s="35" t="inlineStr">
        <is>
          <t>Mitra LM 2W</t>
        </is>
      </c>
      <c r="E293" s="35" t="n">
        <v>102</v>
      </c>
      <c r="F293" s="35" t="n">
        <v>102</v>
      </c>
      <c r="G293" s="35" t="n">
        <v>0</v>
      </c>
      <c r="H293" s="35" t="n">
        <v>0</v>
      </c>
      <c r="I293" s="35" t="n">
        <f>E293-SUM(F293:H293)</f>
        <v>0</v>
      </c>
      <c r="J293" s="36" t="n">
        <f>IFERROR(F293/E293,0)</f>
        <v>1</v>
      </c>
    </row>
    <row r="294">
      <c r="A294" s="34" t="n">
        <v>46302</v>
      </c>
      <c r="B294" s="35" t="inlineStr">
        <is>
          <t>DRV_32</t>
        </is>
      </c>
      <c r="C294" s="35" t="inlineStr">
        <is>
          <t>CINERE</t>
        </is>
      </c>
      <c r="D294" s="35" t="inlineStr">
        <is>
          <t>Mitra LM 2W</t>
        </is>
      </c>
      <c r="E294" s="35" t="n">
        <v>104</v>
      </c>
      <c r="F294" s="35" t="n">
        <v>104</v>
      </c>
      <c r="G294" s="35" t="n">
        <v>0</v>
      </c>
      <c r="H294" s="35" t="n">
        <v>0</v>
      </c>
      <c r="I294" s="35" t="n">
        <f>E294-SUM(F294:H294)</f>
        <v>0</v>
      </c>
      <c r="J294" s="36" t="n">
        <f>IFERROR(F294/E294,0)</f>
        <v>1</v>
      </c>
    </row>
    <row r="295">
      <c r="A295" s="34" t="n">
        <v>46302</v>
      </c>
      <c r="B295" s="35" t="inlineStr">
        <is>
          <t>DRV_33</t>
        </is>
      </c>
      <c r="C295" s="35" t="inlineStr">
        <is>
          <t>CINERE</t>
        </is>
      </c>
      <c r="D295" s="35" t="inlineStr">
        <is>
          <t>Dedicated LM 2W</t>
        </is>
      </c>
      <c r="E295" s="35" t="n">
        <v>133</v>
      </c>
      <c r="F295" s="35" t="n">
        <v>133</v>
      </c>
      <c r="G295" s="35" t="n">
        <v>0</v>
      </c>
      <c r="H295" s="35" t="n">
        <v>0</v>
      </c>
      <c r="I295" s="35" t="n">
        <f>E295-SUM(F295:H295)</f>
        <v>0</v>
      </c>
      <c r="J295" s="36" t="n">
        <f>IFERROR(F295/E295,0)</f>
        <v>1</v>
      </c>
    </row>
    <row r="296">
      <c r="A296" s="34" t="n">
        <v>46302</v>
      </c>
      <c r="B296" s="35" t="inlineStr">
        <is>
          <t>DRV_34</t>
        </is>
      </c>
      <c r="C296" s="35" t="inlineStr">
        <is>
          <t>Limo</t>
        </is>
      </c>
      <c r="D296" s="35" t="inlineStr">
        <is>
          <t>Mitra LM 2W</t>
        </is>
      </c>
      <c r="E296" s="35" t="n">
        <v>105</v>
      </c>
      <c r="F296" s="35" t="n">
        <v>105</v>
      </c>
      <c r="G296" s="35" t="n">
        <v>0</v>
      </c>
      <c r="H296" s="35" t="n">
        <v>0</v>
      </c>
      <c r="I296" s="35" t="n">
        <f>E296-SUM(F296:H296)</f>
        <v>0</v>
      </c>
      <c r="J296" s="36" t="n">
        <f>IFERROR(F296/E296,0)</f>
        <v>1</v>
      </c>
    </row>
    <row r="297">
      <c r="A297" s="34" t="n">
        <v>46302</v>
      </c>
      <c r="B297" s="35" t="inlineStr">
        <is>
          <t>DRV_35</t>
        </is>
      </c>
      <c r="C297" s="35" t="inlineStr">
        <is>
          <t>CINERE</t>
        </is>
      </c>
      <c r="D297" s="35" t="inlineStr">
        <is>
          <t>Dedicated LM 2W</t>
        </is>
      </c>
      <c r="E297" s="35" t="n">
        <v>132</v>
      </c>
      <c r="F297" s="35" t="n">
        <v>132</v>
      </c>
      <c r="G297" s="35" t="n">
        <v>0</v>
      </c>
      <c r="H297" s="35" t="n">
        <v>0</v>
      </c>
      <c r="I297" s="35" t="n">
        <f>E297-SUM(F297:H297)</f>
        <v>0</v>
      </c>
      <c r="J297" s="36" t="n">
        <f>IFERROR(F297/E297,0)</f>
        <v>1</v>
      </c>
    </row>
    <row r="298">
      <c r="A298" s="34" t="n">
        <v>46302</v>
      </c>
      <c r="B298" s="35" t="inlineStr">
        <is>
          <t>DRV_36</t>
        </is>
      </c>
      <c r="C298" s="35" t="inlineStr">
        <is>
          <t>CINERE</t>
        </is>
      </c>
      <c r="D298" s="35" t="inlineStr">
        <is>
          <t>Mitra LM 2W</t>
        </is>
      </c>
      <c r="E298" s="35" t="n">
        <v>95</v>
      </c>
      <c r="F298" s="35" t="n">
        <v>95</v>
      </c>
      <c r="G298" s="35" t="n">
        <v>0</v>
      </c>
      <c r="H298" s="35" t="n">
        <v>0</v>
      </c>
      <c r="I298" s="35" t="n">
        <f>E298-SUM(F298:H298)</f>
        <v>0</v>
      </c>
      <c r="J298" s="36" t="n">
        <f>IFERROR(F298/E298,0)</f>
        <v>1</v>
      </c>
    </row>
    <row r="299">
      <c r="A299" s="34" t="n">
        <v>46302</v>
      </c>
      <c r="B299" s="35" t="inlineStr">
        <is>
          <t>DRV_37</t>
        </is>
      </c>
      <c r="C299" s="35" t="inlineStr">
        <is>
          <t>Grogol</t>
        </is>
      </c>
      <c r="D299" s="35" t="inlineStr">
        <is>
          <t>Mitra LM 2W</t>
        </is>
      </c>
      <c r="E299" s="35" t="n">
        <v>112</v>
      </c>
      <c r="F299" s="35" t="n">
        <v>112</v>
      </c>
      <c r="G299" s="35" t="n">
        <v>0</v>
      </c>
      <c r="H299" s="35" t="n">
        <v>0</v>
      </c>
      <c r="I299" s="35" t="n">
        <f>E299-SUM(F299:H299)</f>
        <v>0</v>
      </c>
      <c r="J299" s="36" t="n">
        <f>IFERROR(F299/E299,0)</f>
        <v>1</v>
      </c>
    </row>
    <row r="300">
      <c r="A300" s="34" t="n">
        <v>46302</v>
      </c>
      <c r="B300" s="35" t="inlineStr">
        <is>
          <t>DRV_38</t>
        </is>
      </c>
      <c r="C300" s="35" t="inlineStr">
        <is>
          <t>Grogol</t>
        </is>
      </c>
      <c r="D300" s="35" t="inlineStr">
        <is>
          <t>Mitra LM 2W</t>
        </is>
      </c>
      <c r="E300" s="35" t="n">
        <v>122</v>
      </c>
      <c r="F300" s="35" t="n">
        <v>122</v>
      </c>
      <c r="G300" s="35" t="n">
        <v>0</v>
      </c>
      <c r="H300" s="35" t="n">
        <v>0</v>
      </c>
      <c r="I300" s="35" t="n">
        <f>E300-SUM(F300:H300)</f>
        <v>0</v>
      </c>
      <c r="J300" s="36" t="n">
        <f>IFERROR(F300/E300,0)</f>
        <v>1</v>
      </c>
    </row>
    <row r="301">
      <c r="A301" s="34" t="n">
        <v>46302</v>
      </c>
      <c r="B301" s="35" t="inlineStr">
        <is>
          <t>DRV_39</t>
        </is>
      </c>
      <c r="C301" s="35" t="inlineStr">
        <is>
          <t>Pangkalan Jati Lama</t>
        </is>
      </c>
      <c r="D301" s="35" t="inlineStr">
        <is>
          <t>Dedicated LM 2W</t>
        </is>
      </c>
      <c r="E301" s="35" t="n">
        <v>141</v>
      </c>
      <c r="F301" s="35" t="n">
        <v>141</v>
      </c>
      <c r="G301" s="35" t="n">
        <v>0</v>
      </c>
      <c r="H301" s="35" t="n">
        <v>0</v>
      </c>
      <c r="I301" s="35" t="n">
        <f>E301-SUM(F301:H301)</f>
        <v>0</v>
      </c>
      <c r="J301" s="36" t="n">
        <f>IFERROR(F301/E301,0)</f>
        <v>1</v>
      </c>
    </row>
    <row r="302">
      <c r="A302" s="34" t="n">
        <v>46302</v>
      </c>
      <c r="B302" s="35" t="inlineStr">
        <is>
          <t>DRV_40</t>
        </is>
      </c>
      <c r="C302" s="35" t="inlineStr">
        <is>
          <t>Grogol</t>
        </is>
      </c>
      <c r="D302" s="35" t="inlineStr">
        <is>
          <t>Dedicated LM 2W</t>
        </is>
      </c>
      <c r="E302" s="35" t="n">
        <v>130</v>
      </c>
      <c r="F302" s="35" t="n">
        <v>130</v>
      </c>
      <c r="G302" s="35" t="n">
        <v>0</v>
      </c>
      <c r="H302" s="35" t="n">
        <v>0</v>
      </c>
      <c r="I302" s="35" t="n">
        <f>E302-SUM(F302:H302)</f>
        <v>0</v>
      </c>
      <c r="J302" s="36" t="n">
        <f>IFERROR(F302/E302,0)</f>
        <v>1</v>
      </c>
    </row>
    <row r="303">
      <c r="A303" s="34" t="n">
        <v>46302</v>
      </c>
      <c r="B303" s="35" t="inlineStr">
        <is>
          <t>DRV_42</t>
        </is>
      </c>
      <c r="C303" s="35" t="inlineStr">
        <is>
          <t>Grogol</t>
        </is>
      </c>
      <c r="D303" s="35" t="inlineStr">
        <is>
          <t>Mitra LM 2W</t>
        </is>
      </c>
      <c r="E303" s="35" t="n">
        <v>83</v>
      </c>
      <c r="F303" s="35" t="n">
        <v>83</v>
      </c>
      <c r="G303" s="35" t="n">
        <v>0</v>
      </c>
      <c r="H303" s="35" t="n">
        <v>0</v>
      </c>
      <c r="I303" s="35" t="n">
        <f>E303-SUM(F303:H303)</f>
        <v>0</v>
      </c>
      <c r="J303" s="36" t="n">
        <f>IFERROR(F303/E303,0)</f>
        <v>1</v>
      </c>
    </row>
    <row r="304">
      <c r="A304" s="34" t="n">
        <v>46302</v>
      </c>
      <c r="B304" s="35" t="inlineStr">
        <is>
          <t>DRV_43</t>
        </is>
      </c>
      <c r="C304" s="35" t="inlineStr">
        <is>
          <t>Meruyung</t>
        </is>
      </c>
      <c r="D304" s="35" t="inlineStr">
        <is>
          <t>Mitra LM 2W</t>
        </is>
      </c>
      <c r="E304" s="35" t="n">
        <v>114</v>
      </c>
      <c r="F304" s="35" t="n">
        <v>114</v>
      </c>
      <c r="G304" s="35" t="n">
        <v>0</v>
      </c>
      <c r="H304" s="35" t="n">
        <v>0</v>
      </c>
      <c r="I304" s="35" t="n">
        <f>E304-SUM(F304:H304)</f>
        <v>0</v>
      </c>
      <c r="J304" s="36" t="n">
        <f>IFERROR(F304/E304,0)</f>
        <v>1</v>
      </c>
    </row>
    <row r="305">
      <c r="A305" s="34" t="n">
        <v>46302</v>
      </c>
      <c r="B305" s="35" t="inlineStr">
        <is>
          <t>DRV_44</t>
        </is>
      </c>
      <c r="C305" s="35" t="inlineStr">
        <is>
          <t>Pangkalan Jati Lama</t>
        </is>
      </c>
      <c r="D305" s="35" t="inlineStr">
        <is>
          <t>Dedicated LM 2W</t>
        </is>
      </c>
      <c r="E305" s="35" t="n">
        <v>148</v>
      </c>
      <c r="F305" s="35" t="n">
        <v>148</v>
      </c>
      <c r="G305" s="35" t="n">
        <v>0</v>
      </c>
      <c r="H305" s="35" t="n">
        <v>0</v>
      </c>
      <c r="I305" s="35" t="n">
        <f>E305-SUM(F305:H305)</f>
        <v>0</v>
      </c>
      <c r="J305" s="36" t="n">
        <f>IFERROR(F305/E305,0)</f>
        <v>1</v>
      </c>
    </row>
    <row r="306">
      <c r="A306" s="34" t="n">
        <v>46302</v>
      </c>
      <c r="B306" s="35" t="inlineStr">
        <is>
          <t>DRV_45</t>
        </is>
      </c>
      <c r="C306" s="35" t="inlineStr">
        <is>
          <t>Krukut</t>
        </is>
      </c>
      <c r="D306" s="35" t="inlineStr">
        <is>
          <t>Mitra LM 2W</t>
        </is>
      </c>
      <c r="E306" s="35" t="n">
        <v>101</v>
      </c>
      <c r="F306" s="35" t="n">
        <v>101</v>
      </c>
      <c r="G306" s="35" t="n">
        <v>0</v>
      </c>
      <c r="H306" s="35" t="n">
        <v>0</v>
      </c>
      <c r="I306" s="35" t="n">
        <f>E306-SUM(F306:H306)</f>
        <v>0</v>
      </c>
      <c r="J306" s="36" t="n">
        <f>IFERROR(F306/E306,0)</f>
        <v>1</v>
      </c>
    </row>
    <row r="307">
      <c r="A307" s="34" t="n">
        <v>46302</v>
      </c>
      <c r="B307" s="35" t="inlineStr">
        <is>
          <t>DRV_47</t>
        </is>
      </c>
      <c r="C307" s="35" t="inlineStr">
        <is>
          <t>Limo</t>
        </is>
      </c>
      <c r="D307" s="35" t="inlineStr">
        <is>
          <t>Dedicated LM 2W</t>
        </is>
      </c>
      <c r="E307" s="35" t="n">
        <v>130</v>
      </c>
      <c r="F307" s="35" t="n">
        <v>130</v>
      </c>
      <c r="G307" s="35" t="n">
        <v>0</v>
      </c>
      <c r="H307" s="35" t="n">
        <v>0</v>
      </c>
      <c r="I307" s="35" t="n">
        <f>E307-SUM(F307:H307)</f>
        <v>0</v>
      </c>
      <c r="J307" s="36" t="n">
        <f>IFERROR(F307/E307,0)</f>
        <v>1</v>
      </c>
    </row>
    <row r="308">
      <c r="A308" s="34" t="n">
        <v>46302</v>
      </c>
      <c r="B308" s="35" t="inlineStr">
        <is>
          <t>DRV_48</t>
        </is>
      </c>
      <c r="C308" s="35" t="inlineStr">
        <is>
          <t>Pangkalan Jati Baru</t>
        </is>
      </c>
      <c r="D308" s="35" t="inlineStr">
        <is>
          <t>Mitra LM 2W</t>
        </is>
      </c>
      <c r="E308" s="35" t="n">
        <v>32</v>
      </c>
      <c r="F308" s="35" t="n">
        <v>32</v>
      </c>
      <c r="G308" s="35" t="n">
        <v>0</v>
      </c>
      <c r="H308" s="35" t="n">
        <v>0</v>
      </c>
      <c r="I308" s="35" t="n">
        <f>E308-SUM(F308:H308)</f>
        <v>0</v>
      </c>
      <c r="J308" s="36" t="n">
        <f>IFERROR(F308/E308,0)</f>
        <v>1</v>
      </c>
    </row>
    <row r="309">
      <c r="A309" s="34" t="n">
        <v>46302</v>
      </c>
      <c r="B309" s="35" t="inlineStr">
        <is>
          <t>DRV_49</t>
        </is>
      </c>
      <c r="C309" s="35" t="inlineStr">
        <is>
          <t>Limo</t>
        </is>
      </c>
      <c r="D309" s="35" t="inlineStr">
        <is>
          <t>Mitra LM 2W</t>
        </is>
      </c>
      <c r="E309" s="35" t="n">
        <v>94</v>
      </c>
      <c r="F309" s="35" t="n">
        <v>94</v>
      </c>
      <c r="G309" s="35" t="n">
        <v>0</v>
      </c>
      <c r="H309" s="35" t="n">
        <v>0</v>
      </c>
      <c r="I309" s="35" t="n">
        <f>E309-SUM(F309:H309)</f>
        <v>0</v>
      </c>
      <c r="J309" s="36" t="n">
        <f>IFERROR(F309/E309,0)</f>
        <v>1</v>
      </c>
    </row>
    <row r="310">
      <c r="A310" s="34" t="n">
        <v>46302</v>
      </c>
      <c r="B310" s="35" t="inlineStr">
        <is>
          <t>DRV_50</t>
        </is>
      </c>
      <c r="C310" s="35" t="inlineStr">
        <is>
          <t>Pangkalan Jati Baru</t>
        </is>
      </c>
      <c r="D310" s="35" t="inlineStr">
        <is>
          <t>Dedicated LM 2W</t>
        </is>
      </c>
      <c r="E310" s="35" t="n">
        <v>155</v>
      </c>
      <c r="F310" s="35" t="n">
        <v>155</v>
      </c>
      <c r="G310" s="35" t="n">
        <v>0</v>
      </c>
      <c r="H310" s="35" t="n">
        <v>0</v>
      </c>
      <c r="I310" s="35" t="n">
        <f>E310-SUM(F310:H310)</f>
        <v>0</v>
      </c>
      <c r="J310" s="36" t="n">
        <f>IFERROR(F310/E310,0)</f>
        <v>1</v>
      </c>
    </row>
    <row r="311">
      <c r="A311" s="34" t="n">
        <v>46302</v>
      </c>
      <c r="B311" s="35" t="inlineStr">
        <is>
          <t>DRV_51</t>
        </is>
      </c>
      <c r="C311" s="35" t="inlineStr">
        <is>
          <t>GANDUL</t>
        </is>
      </c>
      <c r="D311" s="35" t="inlineStr">
        <is>
          <t>Mitra LM 2W</t>
        </is>
      </c>
      <c r="E311" s="35" t="n">
        <v>88</v>
      </c>
      <c r="F311" s="35" t="n">
        <v>88</v>
      </c>
      <c r="G311" s="35" t="n">
        <v>0</v>
      </c>
      <c r="H311" s="35" t="n">
        <v>0</v>
      </c>
      <c r="I311" s="35" t="n">
        <f>E311-SUM(F311:H311)</f>
        <v>0</v>
      </c>
      <c r="J311" s="36" t="n">
        <f>IFERROR(F311/E311,0)</f>
        <v>1</v>
      </c>
    </row>
    <row r="312">
      <c r="A312" s="34" t="n">
        <v>46302</v>
      </c>
      <c r="B312" s="35" t="inlineStr">
        <is>
          <t>DRV_52</t>
        </is>
      </c>
      <c r="C312" s="35" t="inlineStr">
        <is>
          <t>Grogol</t>
        </is>
      </c>
      <c r="D312" s="35" t="inlineStr">
        <is>
          <t>Dedicated LM 2W</t>
        </is>
      </c>
      <c r="E312" s="35" t="n">
        <v>132</v>
      </c>
      <c r="F312" s="35" t="n">
        <v>132</v>
      </c>
      <c r="G312" s="35" t="n">
        <v>0</v>
      </c>
      <c r="H312" s="35" t="n">
        <v>0</v>
      </c>
      <c r="I312" s="35" t="n">
        <f>E312-SUM(F312:H312)</f>
        <v>0</v>
      </c>
      <c r="J312" s="36" t="n">
        <f>IFERROR(F312/E312,0)</f>
        <v>1</v>
      </c>
    </row>
    <row r="313">
      <c r="A313" s="34" t="n">
        <v>46302</v>
      </c>
      <c r="B313" s="35" t="inlineStr">
        <is>
          <t>DRV_54</t>
        </is>
      </c>
      <c r="C313" s="35" t="inlineStr">
        <is>
          <t>GANDUL</t>
        </is>
      </c>
      <c r="D313" s="35" t="inlineStr">
        <is>
          <t>Dedicated LM 2W</t>
        </is>
      </c>
      <c r="E313" s="35" t="n">
        <v>130</v>
      </c>
      <c r="F313" s="35" t="n">
        <v>130</v>
      </c>
      <c r="G313" s="35" t="n">
        <v>0</v>
      </c>
      <c r="H313" s="35" t="n">
        <v>0</v>
      </c>
      <c r="I313" s="35" t="n">
        <f>E313-SUM(F313:H313)</f>
        <v>0</v>
      </c>
      <c r="J313" s="36" t="n">
        <f>IFERROR(F313/E313,0)</f>
        <v>1</v>
      </c>
    </row>
    <row r="314">
      <c r="A314" s="34" t="n">
        <v>46302</v>
      </c>
      <c r="B314" s="35" t="inlineStr">
        <is>
          <t>DRV_55</t>
        </is>
      </c>
      <c r="C314" s="35" t="inlineStr">
        <is>
          <t>CINERE</t>
        </is>
      </c>
      <c r="D314" s="35" t="inlineStr">
        <is>
          <t>Mitra LM 2W</t>
        </is>
      </c>
      <c r="E314" s="35" t="n">
        <v>52</v>
      </c>
      <c r="F314" s="35" t="n">
        <v>52</v>
      </c>
      <c r="G314" s="35" t="n">
        <v>0</v>
      </c>
      <c r="H314" s="35" t="n">
        <v>0</v>
      </c>
      <c r="I314" s="35" t="n">
        <f>E314-SUM(F314:H314)</f>
        <v>0</v>
      </c>
      <c r="J314" s="36" t="n">
        <f>IFERROR(F314/E314,0)</f>
        <v>1</v>
      </c>
    </row>
    <row r="315">
      <c r="A315" s="34" t="n">
        <v>46302</v>
      </c>
      <c r="B315" s="35" t="inlineStr">
        <is>
          <t>DRV_56</t>
        </is>
      </c>
      <c r="C315" s="35" t="inlineStr">
        <is>
          <t>Pangkalan Jati Baru</t>
        </is>
      </c>
      <c r="D315" s="35" t="inlineStr">
        <is>
          <t>Mitra LM 2W</t>
        </is>
      </c>
      <c r="E315" s="35" t="n">
        <v>31</v>
      </c>
      <c r="F315" s="35" t="n">
        <v>31</v>
      </c>
      <c r="G315" s="35" t="n">
        <v>0</v>
      </c>
      <c r="H315" s="35" t="n">
        <v>0</v>
      </c>
      <c r="I315" s="35" t="n">
        <f>E315-SUM(F315:H315)</f>
        <v>0</v>
      </c>
      <c r="J315" s="36" t="n">
        <f>IFERROR(F315/E315,0)</f>
        <v>1</v>
      </c>
    </row>
    <row r="316">
      <c r="A316" s="34" t="n">
        <v>46302</v>
      </c>
      <c r="B316" s="35" t="inlineStr">
        <is>
          <t>DRV_57</t>
        </is>
      </c>
      <c r="C316" s="35" t="inlineStr">
        <is>
          <t>Pangkalan Jati Lama</t>
        </is>
      </c>
      <c r="D316" s="35" t="inlineStr">
        <is>
          <t>Mitra LM 2W</t>
        </is>
      </c>
      <c r="E316" s="35" t="n">
        <v>102</v>
      </c>
      <c r="F316" s="35" t="n">
        <v>102</v>
      </c>
      <c r="G316" s="35" t="n">
        <v>0</v>
      </c>
      <c r="H316" s="35" t="n">
        <v>0</v>
      </c>
      <c r="I316" s="35" t="n">
        <f>E316-SUM(F316:H316)</f>
        <v>0</v>
      </c>
      <c r="J316" s="36" t="n">
        <f>IFERROR(F316/E316,0)</f>
        <v>1</v>
      </c>
    </row>
    <row r="317">
      <c r="A317" s="34" t="n">
        <v>46303</v>
      </c>
      <c r="B317" s="35" t="inlineStr">
        <is>
          <t>DRV_02</t>
        </is>
      </c>
      <c r="C317" s="35" t="inlineStr">
        <is>
          <t>Grogol</t>
        </is>
      </c>
      <c r="D317" s="35" t="inlineStr">
        <is>
          <t>Mitra LM 2W</t>
        </is>
      </c>
      <c r="E317" s="35" t="n">
        <v>100</v>
      </c>
      <c r="F317" s="35" t="n">
        <v>39</v>
      </c>
      <c r="G317" s="35" t="n">
        <v>59</v>
      </c>
      <c r="H317" s="35" t="n">
        <v>2</v>
      </c>
      <c r="I317" s="35" t="n">
        <f>E317-SUM(F317:H317)</f>
        <v>0</v>
      </c>
      <c r="J317" s="36" t="n">
        <f>IFERROR(F317/E317,0)</f>
        <v>0.39</v>
      </c>
    </row>
    <row r="318">
      <c r="A318" s="34" t="n">
        <v>46303</v>
      </c>
      <c r="B318" s="35" t="inlineStr">
        <is>
          <t>DRV_03</t>
        </is>
      </c>
      <c r="C318" s="35" t="inlineStr">
        <is>
          <t>GANDUL</t>
        </is>
      </c>
      <c r="D318" s="35" t="inlineStr">
        <is>
          <t>Mitra LM 2W</t>
        </is>
      </c>
      <c r="E318" s="35" t="n">
        <v>125</v>
      </c>
      <c r="F318" s="35" t="n">
        <v>49</v>
      </c>
      <c r="G318" s="35" t="n">
        <v>76</v>
      </c>
      <c r="H318" s="35" t="n">
        <v>0</v>
      </c>
      <c r="I318" s="35" t="n">
        <f>E318-SUM(F318:H318)</f>
        <v>0</v>
      </c>
      <c r="J318" s="36" t="n">
        <f>IFERROR(F318/E318,0)</f>
        <v>0.392</v>
      </c>
    </row>
    <row r="319">
      <c r="A319" s="34" t="n">
        <v>46303</v>
      </c>
      <c r="B319" s="35" t="inlineStr">
        <is>
          <t>DRV_04</t>
        </is>
      </c>
      <c r="C319" s="35" t="inlineStr">
        <is>
          <t>Limo</t>
        </is>
      </c>
      <c r="D319" s="35" t="inlineStr">
        <is>
          <t>Mitra LM 2W</t>
        </is>
      </c>
      <c r="E319" s="35" t="n">
        <v>66</v>
      </c>
      <c r="F319" s="35" t="n">
        <v>28</v>
      </c>
      <c r="G319" s="35" t="n">
        <v>36</v>
      </c>
      <c r="H319" s="35" t="n">
        <v>2</v>
      </c>
      <c r="I319" s="35" t="n">
        <f>E319-SUM(F319:H319)</f>
        <v>0</v>
      </c>
      <c r="J319" s="36" t="n">
        <f>IFERROR(F319/E319,0)</f>
        <v>0.424242424242424</v>
      </c>
    </row>
    <row r="320">
      <c r="A320" s="34" t="n">
        <v>46303</v>
      </c>
      <c r="B320" s="35" t="inlineStr">
        <is>
          <t>DRV_05</t>
        </is>
      </c>
      <c r="C320" s="35" t="inlineStr">
        <is>
          <t>GANDUL</t>
        </is>
      </c>
      <c r="D320" s="35" t="inlineStr">
        <is>
          <t>Mitra LM 2W</t>
        </is>
      </c>
      <c r="E320" s="35" t="n">
        <v>109</v>
      </c>
      <c r="F320" s="35" t="n">
        <v>45</v>
      </c>
      <c r="G320" s="35" t="n">
        <v>64</v>
      </c>
      <c r="H320" s="35" t="n">
        <v>0</v>
      </c>
      <c r="I320" s="35" t="n">
        <f>E320-SUM(F320:H320)</f>
        <v>0</v>
      </c>
      <c r="J320" s="36" t="n">
        <f>IFERROR(F320/E320,0)</f>
        <v>0.412844036697248</v>
      </c>
    </row>
    <row r="321">
      <c r="A321" s="34" t="n">
        <v>46303</v>
      </c>
      <c r="B321" s="35" t="inlineStr">
        <is>
          <t>DRV_06</t>
        </is>
      </c>
      <c r="C321" s="35" t="inlineStr">
        <is>
          <t>Grogol</t>
        </is>
      </c>
      <c r="D321" s="35" t="inlineStr">
        <is>
          <t>Mitra LM 2W</t>
        </is>
      </c>
      <c r="E321" s="35" t="n">
        <v>80</v>
      </c>
      <c r="F321" s="35" t="n">
        <v>41</v>
      </c>
      <c r="G321" s="35" t="n">
        <v>36</v>
      </c>
      <c r="H321" s="35" t="n">
        <v>3</v>
      </c>
      <c r="I321" s="35" t="n">
        <f>E321-SUM(F321:H321)</f>
        <v>0</v>
      </c>
      <c r="J321" s="36" t="n">
        <f>IFERROR(F321/E321,0)</f>
        <v>0.5125</v>
      </c>
    </row>
    <row r="322">
      <c r="A322" s="34" t="n">
        <v>46303</v>
      </c>
      <c r="B322" s="35" t="inlineStr">
        <is>
          <t>DRV_08</t>
        </is>
      </c>
      <c r="C322" s="35" t="inlineStr">
        <is>
          <t>CINERE</t>
        </is>
      </c>
      <c r="D322" s="35" t="inlineStr">
        <is>
          <t>Mitra LM 2W</t>
        </is>
      </c>
      <c r="E322" s="35" t="n">
        <v>57</v>
      </c>
      <c r="F322" s="35" t="n">
        <v>0</v>
      </c>
      <c r="G322" s="35" t="n">
        <v>56</v>
      </c>
      <c r="H322" s="35" t="n">
        <v>1</v>
      </c>
      <c r="I322" s="35" t="n">
        <f>E322-SUM(F322:H322)</f>
        <v>0</v>
      </c>
      <c r="J322" s="36" t="n">
        <f>IFERROR(F322/E322,0)</f>
        <v>0</v>
      </c>
    </row>
    <row r="323">
      <c r="A323" s="34" t="n">
        <v>46303</v>
      </c>
      <c r="B323" s="35" t="inlineStr">
        <is>
          <t>DRV_10</t>
        </is>
      </c>
      <c r="C323" s="35" t="inlineStr">
        <is>
          <t>Meruyung</t>
        </is>
      </c>
      <c r="D323" s="35" t="inlineStr">
        <is>
          <t>Mitra LM 2W</t>
        </is>
      </c>
      <c r="E323" s="35" t="n">
        <v>75</v>
      </c>
      <c r="F323" s="35" t="n">
        <v>60</v>
      </c>
      <c r="G323" s="35" t="n">
        <v>11</v>
      </c>
      <c r="H323" s="35" t="n">
        <v>4</v>
      </c>
      <c r="I323" s="35" t="n">
        <f>E323-SUM(F323:H323)</f>
        <v>0</v>
      </c>
      <c r="J323" s="36" t="n">
        <f>IFERROR(F323/E323,0)</f>
        <v>0.8</v>
      </c>
    </row>
    <row r="324">
      <c r="A324" s="34" t="n">
        <v>46303</v>
      </c>
      <c r="B324" s="35" t="inlineStr">
        <is>
          <t>DRV_11</t>
        </is>
      </c>
      <c r="C324" s="35" t="inlineStr">
        <is>
          <t>Grogol</t>
        </is>
      </c>
      <c r="D324" s="35" t="inlineStr">
        <is>
          <t>Mitra LM 2W</t>
        </is>
      </c>
      <c r="E324" s="35" t="n">
        <v>92</v>
      </c>
      <c r="F324" s="35" t="n">
        <v>44</v>
      </c>
      <c r="G324" s="35" t="n">
        <v>48</v>
      </c>
      <c r="H324" s="35" t="n">
        <v>0</v>
      </c>
      <c r="I324" s="35" t="n">
        <f>E324-SUM(F324:H324)</f>
        <v>0</v>
      </c>
      <c r="J324" s="36" t="n">
        <f>IFERROR(F324/E324,0)</f>
        <v>0.478260869565217</v>
      </c>
    </row>
    <row r="325">
      <c r="A325" s="34" t="n">
        <v>46303</v>
      </c>
      <c r="B325" s="35" t="inlineStr">
        <is>
          <t>DRV_12</t>
        </is>
      </c>
      <c r="C325" s="35" t="inlineStr">
        <is>
          <t>Pangkalan Jati Baru</t>
        </is>
      </c>
      <c r="D325" s="35" t="inlineStr">
        <is>
          <t>Mitra LM 2W</t>
        </is>
      </c>
      <c r="E325" s="35" t="n">
        <v>189</v>
      </c>
      <c r="F325" s="35" t="n">
        <v>78</v>
      </c>
      <c r="G325" s="35" t="n">
        <v>110</v>
      </c>
      <c r="H325" s="35" t="n">
        <v>1</v>
      </c>
      <c r="I325" s="35" t="n">
        <f>E325-SUM(F325:H325)</f>
        <v>0</v>
      </c>
      <c r="J325" s="36" t="n">
        <f>IFERROR(F325/E325,0)</f>
        <v>0.412698412698413</v>
      </c>
    </row>
    <row r="326">
      <c r="A326" s="34" t="n">
        <v>46303</v>
      </c>
      <c r="B326" s="35" t="inlineStr">
        <is>
          <t>DRV_13</t>
        </is>
      </c>
      <c r="C326" s="35" t="inlineStr">
        <is>
          <t>CINERE</t>
        </is>
      </c>
      <c r="D326" s="35" t="inlineStr">
        <is>
          <t>Mitra LM 2W</t>
        </is>
      </c>
      <c r="E326" s="35" t="n">
        <v>60</v>
      </c>
      <c r="F326" s="35" t="n">
        <v>7</v>
      </c>
      <c r="G326" s="35" t="n">
        <v>52</v>
      </c>
      <c r="H326" s="35" t="n">
        <v>1</v>
      </c>
      <c r="I326" s="35" t="n">
        <f>E326-SUM(F326:H326)</f>
        <v>0</v>
      </c>
      <c r="J326" s="36" t="n">
        <f>IFERROR(F326/E326,0)</f>
        <v>0.116666666666667</v>
      </c>
    </row>
    <row r="327">
      <c r="A327" s="34" t="n">
        <v>46303</v>
      </c>
      <c r="B327" s="35" t="inlineStr">
        <is>
          <t>DRV_14</t>
        </is>
      </c>
      <c r="C327" s="35" t="inlineStr">
        <is>
          <t>CINERE</t>
        </is>
      </c>
      <c r="D327" s="35" t="inlineStr">
        <is>
          <t>Dedicated LM 2W</t>
        </is>
      </c>
      <c r="E327" s="35" t="n">
        <v>128</v>
      </c>
      <c r="F327" s="35" t="n">
        <v>64</v>
      </c>
      <c r="G327" s="35" t="n">
        <v>64</v>
      </c>
      <c r="H327" s="35" t="n">
        <v>0</v>
      </c>
      <c r="I327" s="35" t="n">
        <f>E327-SUM(F327:H327)</f>
        <v>0</v>
      </c>
      <c r="J327" s="36" t="n">
        <f>IFERROR(F327/E327,0)</f>
        <v>0.5</v>
      </c>
    </row>
    <row r="328">
      <c r="A328" s="34" t="n">
        <v>46303</v>
      </c>
      <c r="B328" s="35" t="inlineStr">
        <is>
          <t>DRV_15</t>
        </is>
      </c>
      <c r="C328" s="35" t="inlineStr">
        <is>
          <t>Krukut</t>
        </is>
      </c>
      <c r="D328" s="35" t="inlineStr">
        <is>
          <t>Mitra LM 2W</t>
        </is>
      </c>
      <c r="E328" s="35" t="n">
        <v>126</v>
      </c>
      <c r="F328" s="35" t="n">
        <v>46</v>
      </c>
      <c r="G328" s="35" t="n">
        <v>78</v>
      </c>
      <c r="H328" s="35" t="n">
        <v>2</v>
      </c>
      <c r="I328" s="35" t="n">
        <f>E328-SUM(F328:H328)</f>
        <v>0</v>
      </c>
      <c r="J328" s="36" t="n">
        <f>IFERROR(F328/E328,0)</f>
        <v>0.365079365079365</v>
      </c>
    </row>
    <row r="329">
      <c r="A329" s="34" t="n">
        <v>46303</v>
      </c>
      <c r="B329" s="35" t="inlineStr">
        <is>
          <t>DRV_16</t>
        </is>
      </c>
      <c r="C329" s="35" t="inlineStr">
        <is>
          <t>Meruyung</t>
        </is>
      </c>
      <c r="D329" s="35" t="inlineStr">
        <is>
          <t>Mitra LM 2W</t>
        </is>
      </c>
      <c r="E329" s="35" t="n">
        <v>91</v>
      </c>
      <c r="F329" s="35" t="n">
        <v>35</v>
      </c>
      <c r="G329" s="35" t="n">
        <v>56</v>
      </c>
      <c r="H329" s="35" t="n">
        <v>0</v>
      </c>
      <c r="I329" s="35" t="n">
        <f>E329-SUM(F329:H329)</f>
        <v>0</v>
      </c>
      <c r="J329" s="36" t="n">
        <f>IFERROR(F329/E329,0)</f>
        <v>0.384615384615385</v>
      </c>
    </row>
    <row r="330">
      <c r="A330" s="34" t="n">
        <v>46303</v>
      </c>
      <c r="B330" s="35" t="inlineStr">
        <is>
          <t>DRV_17</t>
        </is>
      </c>
      <c r="C330" s="35" t="inlineStr">
        <is>
          <t>Krukut</t>
        </is>
      </c>
      <c r="D330" s="35" t="inlineStr">
        <is>
          <t>Dedicated LM 2W</t>
        </is>
      </c>
      <c r="E330" s="35" t="n">
        <v>179</v>
      </c>
      <c r="F330" s="35" t="n">
        <v>76</v>
      </c>
      <c r="G330" s="35" t="n">
        <v>103</v>
      </c>
      <c r="H330" s="35" t="n">
        <v>0</v>
      </c>
      <c r="I330" s="35" t="n">
        <f>E330-SUM(F330:H330)</f>
        <v>0</v>
      </c>
      <c r="J330" s="36" t="n">
        <f>IFERROR(F330/E330,0)</f>
        <v>0.424581005586592</v>
      </c>
    </row>
    <row r="331">
      <c r="A331" s="34" t="n">
        <v>46303</v>
      </c>
      <c r="B331" s="35" t="inlineStr">
        <is>
          <t>DRV_18</t>
        </is>
      </c>
      <c r="C331" s="35" t="inlineStr">
        <is>
          <t>Meruyung</t>
        </is>
      </c>
      <c r="D331" s="35" t="inlineStr">
        <is>
          <t>Mitra LM 2W</t>
        </is>
      </c>
      <c r="E331" s="35" t="n">
        <v>119</v>
      </c>
      <c r="F331" s="35" t="n">
        <v>55</v>
      </c>
      <c r="G331" s="35" t="n">
        <v>62</v>
      </c>
      <c r="H331" s="35" t="n">
        <v>2</v>
      </c>
      <c r="I331" s="35" t="n">
        <f>E331-SUM(F331:H331)</f>
        <v>0</v>
      </c>
      <c r="J331" s="36" t="n">
        <f>IFERROR(F331/E331,0)</f>
        <v>0.46218487394958</v>
      </c>
    </row>
    <row r="332">
      <c r="A332" s="34" t="n">
        <v>46303</v>
      </c>
      <c r="B332" s="35" t="inlineStr">
        <is>
          <t>DRV_19</t>
        </is>
      </c>
      <c r="C332" s="35" t="inlineStr">
        <is>
          <t>Meruyung</t>
        </is>
      </c>
      <c r="D332" s="35" t="inlineStr">
        <is>
          <t>Mitra LM 2W</t>
        </is>
      </c>
      <c r="E332" s="35" t="n">
        <v>59</v>
      </c>
      <c r="F332" s="35" t="n">
        <v>0</v>
      </c>
      <c r="G332" s="35" t="n">
        <v>59</v>
      </c>
      <c r="H332" s="35" t="n">
        <v>0</v>
      </c>
      <c r="I332" s="35" t="n">
        <f>E332-SUM(F332:H332)</f>
        <v>0</v>
      </c>
      <c r="J332" s="36" t="n">
        <f>IFERROR(F332/E332,0)</f>
        <v>0</v>
      </c>
    </row>
    <row r="333">
      <c r="A333" s="34" t="n">
        <v>46303</v>
      </c>
      <c r="B333" s="35" t="inlineStr">
        <is>
          <t>DRV_20</t>
        </is>
      </c>
      <c r="C333" s="35" t="inlineStr">
        <is>
          <t>Krukut</t>
        </is>
      </c>
      <c r="D333" s="35" t="inlineStr">
        <is>
          <t>Mitra LM 2W</t>
        </is>
      </c>
      <c r="E333" s="35" t="n">
        <v>94</v>
      </c>
      <c r="F333" s="35" t="n">
        <v>46</v>
      </c>
      <c r="G333" s="35" t="n">
        <v>44</v>
      </c>
      <c r="H333" s="35" t="n">
        <v>4</v>
      </c>
      <c r="I333" s="35" t="n">
        <f>E333-SUM(F333:H333)</f>
        <v>0</v>
      </c>
      <c r="J333" s="36" t="n">
        <f>IFERROR(F333/E333,0)</f>
        <v>0.48936170212766</v>
      </c>
    </row>
    <row r="334">
      <c r="A334" s="34" t="n">
        <v>46303</v>
      </c>
      <c r="B334" s="35" t="inlineStr">
        <is>
          <t>DRV_21</t>
        </is>
      </c>
      <c r="C334" s="35" t="inlineStr">
        <is>
          <t>Grogol</t>
        </is>
      </c>
      <c r="D334" s="35" t="inlineStr">
        <is>
          <t>Dedicated LM 2W</t>
        </is>
      </c>
      <c r="E334" s="35" t="n">
        <v>125</v>
      </c>
      <c r="F334" s="35" t="n">
        <v>49</v>
      </c>
      <c r="G334" s="35" t="n">
        <v>76</v>
      </c>
      <c r="H334" s="35" t="n">
        <v>0</v>
      </c>
      <c r="I334" s="35" t="n">
        <f>E334-SUM(F334:H334)</f>
        <v>0</v>
      </c>
      <c r="J334" s="36" t="n">
        <f>IFERROR(F334/E334,0)</f>
        <v>0.392</v>
      </c>
    </row>
    <row r="335">
      <c r="A335" s="34" t="n">
        <v>46303</v>
      </c>
      <c r="B335" s="35" t="inlineStr">
        <is>
          <t>DRV_22</t>
        </is>
      </c>
      <c r="C335" s="35" t="inlineStr">
        <is>
          <t>Limo</t>
        </is>
      </c>
      <c r="D335" s="35" t="inlineStr">
        <is>
          <t>Mitra LM 2W</t>
        </is>
      </c>
      <c r="E335" s="35" t="n">
        <v>115</v>
      </c>
      <c r="F335" s="35" t="n">
        <v>50</v>
      </c>
      <c r="G335" s="35" t="n">
        <v>65</v>
      </c>
      <c r="H335" s="35" t="n">
        <v>0</v>
      </c>
      <c r="I335" s="35" t="n">
        <f>E335-SUM(F335:H335)</f>
        <v>0</v>
      </c>
      <c r="J335" s="36" t="n">
        <f>IFERROR(F335/E335,0)</f>
        <v>0.434782608695652</v>
      </c>
    </row>
    <row r="336">
      <c r="A336" s="34" t="n">
        <v>46303</v>
      </c>
      <c r="B336" s="35" t="inlineStr">
        <is>
          <t>DRV_23</t>
        </is>
      </c>
      <c r="C336" s="35" t="inlineStr">
        <is>
          <t>Meruyung</t>
        </is>
      </c>
      <c r="D336" s="35" t="inlineStr">
        <is>
          <t>Mitra LM 2W</t>
        </is>
      </c>
      <c r="E336" s="35" t="n">
        <v>103</v>
      </c>
      <c r="F336" s="35" t="n">
        <v>53</v>
      </c>
      <c r="G336" s="35" t="n">
        <v>49</v>
      </c>
      <c r="H336" s="35" t="n">
        <v>1</v>
      </c>
      <c r="I336" s="35" t="n">
        <f>E336-SUM(F336:H336)</f>
        <v>0</v>
      </c>
      <c r="J336" s="36" t="n">
        <f>IFERROR(F336/E336,0)</f>
        <v>0.514563106796117</v>
      </c>
    </row>
    <row r="337">
      <c r="A337" s="34" t="n">
        <v>46303</v>
      </c>
      <c r="B337" s="35" t="inlineStr">
        <is>
          <t>DRV_24</t>
        </is>
      </c>
      <c r="C337" s="35" t="inlineStr">
        <is>
          <t>GANDUL</t>
        </is>
      </c>
      <c r="D337" s="35" t="inlineStr">
        <is>
          <t>Mitra LM 2W</t>
        </is>
      </c>
      <c r="E337" s="35" t="n">
        <v>116</v>
      </c>
      <c r="F337" s="35" t="n">
        <v>51</v>
      </c>
      <c r="G337" s="35" t="n">
        <v>65</v>
      </c>
      <c r="H337" s="35" t="n">
        <v>0</v>
      </c>
      <c r="I337" s="35" t="n">
        <f>E337-SUM(F337:H337)</f>
        <v>0</v>
      </c>
      <c r="J337" s="36" t="n">
        <f>IFERROR(F337/E337,0)</f>
        <v>0.439655172413793</v>
      </c>
    </row>
    <row r="338">
      <c r="A338" s="34" t="n">
        <v>46303</v>
      </c>
      <c r="B338" s="35" t="inlineStr">
        <is>
          <t>DRV_25</t>
        </is>
      </c>
      <c r="C338" s="35" t="inlineStr">
        <is>
          <t>CINERE</t>
        </is>
      </c>
      <c r="D338" s="35" t="inlineStr">
        <is>
          <t>Mitra LM 2W</t>
        </is>
      </c>
      <c r="E338" s="35" t="n">
        <v>82</v>
      </c>
      <c r="F338" s="35" t="n">
        <v>29</v>
      </c>
      <c r="G338" s="35" t="n">
        <v>52</v>
      </c>
      <c r="H338" s="35" t="n">
        <v>1</v>
      </c>
      <c r="I338" s="35" t="n">
        <f>E338-SUM(F338:H338)</f>
        <v>0</v>
      </c>
      <c r="J338" s="36" t="n">
        <f>IFERROR(F338/E338,0)</f>
        <v>0.353658536585366</v>
      </c>
    </row>
    <row r="339">
      <c r="A339" s="34" t="n">
        <v>46303</v>
      </c>
      <c r="B339" s="35" t="inlineStr">
        <is>
          <t>DRV_26</t>
        </is>
      </c>
      <c r="C339" s="35" t="inlineStr">
        <is>
          <t>Pangkalan Jati Baru</t>
        </is>
      </c>
      <c r="D339" s="35" t="inlineStr">
        <is>
          <t>Mitra LM 2W</t>
        </is>
      </c>
      <c r="E339" s="35" t="n">
        <v>83</v>
      </c>
      <c r="F339" s="35" t="n">
        <v>34</v>
      </c>
      <c r="G339" s="35" t="n">
        <v>49</v>
      </c>
      <c r="H339" s="35" t="n">
        <v>0</v>
      </c>
      <c r="I339" s="35" t="n">
        <f>E339-SUM(F339:H339)</f>
        <v>0</v>
      </c>
      <c r="J339" s="36" t="n">
        <f>IFERROR(F339/E339,0)</f>
        <v>0.409638554216867</v>
      </c>
    </row>
    <row r="340">
      <c r="A340" s="34" t="n">
        <v>46303</v>
      </c>
      <c r="B340" s="35" t="inlineStr">
        <is>
          <t>DRV_28</t>
        </is>
      </c>
      <c r="C340" s="35" t="inlineStr">
        <is>
          <t>Pangkalan Jati Lama</t>
        </is>
      </c>
      <c r="D340" s="35" t="inlineStr">
        <is>
          <t>Mitra LM 2W</t>
        </is>
      </c>
      <c r="E340" s="35" t="n">
        <v>116</v>
      </c>
      <c r="F340" s="35" t="n">
        <v>56</v>
      </c>
      <c r="G340" s="35" t="n">
        <v>60</v>
      </c>
      <c r="H340" s="35" t="n">
        <v>0</v>
      </c>
      <c r="I340" s="35" t="n">
        <f>E340-SUM(F340:H340)</f>
        <v>0</v>
      </c>
      <c r="J340" s="36" t="n">
        <f>IFERROR(F340/E340,0)</f>
        <v>0.482758620689655</v>
      </c>
    </row>
    <row r="341">
      <c r="A341" s="34" t="n">
        <v>46303</v>
      </c>
      <c r="B341" s="35" t="inlineStr">
        <is>
          <t>DRV_29</t>
        </is>
      </c>
      <c r="C341" s="35" t="inlineStr">
        <is>
          <t>CINERE</t>
        </is>
      </c>
      <c r="D341" s="35" t="inlineStr">
        <is>
          <t>Mitra LM 2W</t>
        </is>
      </c>
      <c r="E341" s="35" t="n">
        <v>47</v>
      </c>
      <c r="F341" s="35" t="n">
        <v>45</v>
      </c>
      <c r="G341" s="35" t="n">
        <v>1</v>
      </c>
      <c r="H341" s="35" t="n">
        <v>1</v>
      </c>
      <c r="I341" s="35" t="n">
        <f>E341-SUM(F341:H341)</f>
        <v>0</v>
      </c>
      <c r="J341" s="36" t="n">
        <f>IFERROR(F341/E341,0)</f>
        <v>0.957446808510638</v>
      </c>
    </row>
    <row r="342">
      <c r="A342" s="34" t="n">
        <v>46303</v>
      </c>
      <c r="B342" s="35" t="inlineStr">
        <is>
          <t>DRV_31</t>
        </is>
      </c>
      <c r="C342" s="35" t="inlineStr">
        <is>
          <t>Krukut</t>
        </is>
      </c>
      <c r="D342" s="35" t="inlineStr">
        <is>
          <t>Mitra LM 2W</t>
        </is>
      </c>
      <c r="E342" s="35" t="n">
        <v>99</v>
      </c>
      <c r="F342" s="35" t="n">
        <v>40</v>
      </c>
      <c r="G342" s="35" t="n">
        <v>59</v>
      </c>
      <c r="H342" s="35" t="n">
        <v>0</v>
      </c>
      <c r="I342" s="35" t="n">
        <f>E342-SUM(F342:H342)</f>
        <v>0</v>
      </c>
      <c r="J342" s="36" t="n">
        <f>IFERROR(F342/E342,0)</f>
        <v>0.404040404040404</v>
      </c>
    </row>
    <row r="343">
      <c r="A343" s="34" t="n">
        <v>46303</v>
      </c>
      <c r="B343" s="35" t="inlineStr">
        <is>
          <t>DRV_32</t>
        </is>
      </c>
      <c r="C343" s="35" t="inlineStr">
        <is>
          <t>CINERE</t>
        </is>
      </c>
      <c r="D343" s="35" t="inlineStr">
        <is>
          <t>Mitra LM 2W</t>
        </is>
      </c>
      <c r="E343" s="35" t="n">
        <v>53</v>
      </c>
      <c r="F343" s="35" t="n">
        <v>51</v>
      </c>
      <c r="G343" s="35" t="n">
        <v>0</v>
      </c>
      <c r="H343" s="35" t="n">
        <v>2</v>
      </c>
      <c r="I343" s="35" t="n">
        <f>E343-SUM(F343:H343)</f>
        <v>0</v>
      </c>
      <c r="J343" s="36" t="n">
        <f>IFERROR(F343/E343,0)</f>
        <v>0.962264150943396</v>
      </c>
    </row>
    <row r="344">
      <c r="A344" s="34" t="n">
        <v>46303</v>
      </c>
      <c r="B344" s="35" t="inlineStr">
        <is>
          <t>DRV_33</t>
        </is>
      </c>
      <c r="C344" s="35" t="inlineStr">
        <is>
          <t>CINERE</t>
        </is>
      </c>
      <c r="D344" s="35" t="inlineStr">
        <is>
          <t>Dedicated LM 2W</t>
        </is>
      </c>
      <c r="E344" s="35" t="n">
        <v>126</v>
      </c>
      <c r="F344" s="35" t="n">
        <v>58</v>
      </c>
      <c r="G344" s="35" t="n">
        <v>68</v>
      </c>
      <c r="H344" s="35" t="n">
        <v>0</v>
      </c>
      <c r="I344" s="35" t="n">
        <f>E344-SUM(F344:H344)</f>
        <v>0</v>
      </c>
      <c r="J344" s="36" t="n">
        <f>IFERROR(F344/E344,0)</f>
        <v>0.46031746031746</v>
      </c>
    </row>
    <row r="345">
      <c r="A345" s="34" t="n">
        <v>46303</v>
      </c>
      <c r="B345" s="35" t="inlineStr">
        <is>
          <t>DRV_34</t>
        </is>
      </c>
      <c r="C345" s="35" t="inlineStr">
        <is>
          <t>Limo</t>
        </is>
      </c>
      <c r="D345" s="35" t="inlineStr">
        <is>
          <t>Mitra LM 2W</t>
        </is>
      </c>
      <c r="E345" s="35" t="n">
        <v>104</v>
      </c>
      <c r="F345" s="35" t="n">
        <v>36</v>
      </c>
      <c r="G345" s="35" t="n">
        <v>64</v>
      </c>
      <c r="H345" s="35" t="n">
        <v>4</v>
      </c>
      <c r="I345" s="35" t="n">
        <f>E345-SUM(F345:H345)</f>
        <v>0</v>
      </c>
      <c r="J345" s="36" t="n">
        <f>IFERROR(F345/E345,0)</f>
        <v>0.346153846153846</v>
      </c>
    </row>
    <row r="346">
      <c r="A346" s="34" t="n">
        <v>46303</v>
      </c>
      <c r="B346" s="35" t="inlineStr">
        <is>
          <t>DRV_35</t>
        </is>
      </c>
      <c r="C346" s="35" t="inlineStr">
        <is>
          <t>CINERE</t>
        </is>
      </c>
      <c r="D346" s="35" t="inlineStr">
        <is>
          <t>Dedicated LM 2W</t>
        </is>
      </c>
      <c r="E346" s="35" t="n">
        <v>112</v>
      </c>
      <c r="F346" s="35" t="n">
        <v>62</v>
      </c>
      <c r="G346" s="35" t="n">
        <v>50</v>
      </c>
      <c r="H346" s="35" t="n">
        <v>0</v>
      </c>
      <c r="I346" s="35" t="n">
        <f>E346-SUM(F346:H346)</f>
        <v>0</v>
      </c>
      <c r="J346" s="36" t="n">
        <f>IFERROR(F346/E346,0)</f>
        <v>0.553571428571429</v>
      </c>
    </row>
    <row r="347">
      <c r="A347" s="34" t="n">
        <v>46303</v>
      </c>
      <c r="B347" s="35" t="inlineStr">
        <is>
          <t>DRV_36</t>
        </is>
      </c>
      <c r="C347" s="35" t="inlineStr">
        <is>
          <t>CINERE</t>
        </is>
      </c>
      <c r="D347" s="35" t="inlineStr">
        <is>
          <t>Mitra LM 2W</t>
        </is>
      </c>
      <c r="E347" s="35" t="n">
        <v>82</v>
      </c>
      <c r="F347" s="35" t="n">
        <v>35</v>
      </c>
      <c r="G347" s="35" t="n">
        <v>47</v>
      </c>
      <c r="H347" s="35" t="n">
        <v>0</v>
      </c>
      <c r="I347" s="35" t="n">
        <f>E347-SUM(F347:H347)</f>
        <v>0</v>
      </c>
      <c r="J347" s="36" t="n">
        <f>IFERROR(F347/E347,0)</f>
        <v>0.426829268292683</v>
      </c>
    </row>
    <row r="348">
      <c r="A348" s="34" t="n">
        <v>46303</v>
      </c>
      <c r="B348" s="35" t="inlineStr">
        <is>
          <t>DRV_37</t>
        </is>
      </c>
      <c r="C348" s="35" t="inlineStr">
        <is>
          <t>Grogol</t>
        </is>
      </c>
      <c r="D348" s="35" t="inlineStr">
        <is>
          <t>Mitra LM 2W</t>
        </is>
      </c>
      <c r="E348" s="35" t="n">
        <v>74</v>
      </c>
      <c r="F348" s="35" t="n">
        <v>33</v>
      </c>
      <c r="G348" s="35" t="n">
        <v>41</v>
      </c>
      <c r="H348" s="35" t="n">
        <v>0</v>
      </c>
      <c r="I348" s="35" t="n">
        <f>E348-SUM(F348:H348)</f>
        <v>0</v>
      </c>
      <c r="J348" s="36" t="n">
        <f>IFERROR(F348/E348,0)</f>
        <v>0.445945945945946</v>
      </c>
    </row>
    <row r="349">
      <c r="A349" s="34" t="n">
        <v>46303</v>
      </c>
      <c r="B349" s="35" t="inlineStr">
        <is>
          <t>DRV_38</t>
        </is>
      </c>
      <c r="C349" s="35" t="inlineStr">
        <is>
          <t>Grogol</t>
        </is>
      </c>
      <c r="D349" s="35" t="inlineStr">
        <is>
          <t>Mitra LM 2W</t>
        </is>
      </c>
      <c r="E349" s="35" t="n">
        <v>118</v>
      </c>
      <c r="F349" s="35" t="n">
        <v>58</v>
      </c>
      <c r="G349" s="35" t="n">
        <v>55</v>
      </c>
      <c r="H349" s="35" t="n">
        <v>5</v>
      </c>
      <c r="I349" s="35" t="n">
        <f>E349-SUM(F349:H349)</f>
        <v>0</v>
      </c>
      <c r="J349" s="36" t="n">
        <f>IFERROR(F349/E349,0)</f>
        <v>0.491525423728814</v>
      </c>
    </row>
    <row r="350">
      <c r="A350" s="34" t="n">
        <v>46303</v>
      </c>
      <c r="B350" s="35" t="inlineStr">
        <is>
          <t>DRV_39</t>
        </is>
      </c>
      <c r="C350" s="35" t="inlineStr">
        <is>
          <t>Pangkalan Jati Lama</t>
        </is>
      </c>
      <c r="D350" s="35" t="inlineStr">
        <is>
          <t>Dedicated LM 2W</t>
        </is>
      </c>
      <c r="E350" s="35" t="n">
        <v>126</v>
      </c>
      <c r="F350" s="35" t="n">
        <v>49</v>
      </c>
      <c r="G350" s="35" t="n">
        <v>77</v>
      </c>
      <c r="H350" s="35" t="n">
        <v>0</v>
      </c>
      <c r="I350" s="35" t="n">
        <f>E350-SUM(F350:H350)</f>
        <v>0</v>
      </c>
      <c r="J350" s="36" t="n">
        <f>IFERROR(F350/E350,0)</f>
        <v>0.388888888888889</v>
      </c>
    </row>
    <row r="351">
      <c r="A351" s="34" t="n">
        <v>46303</v>
      </c>
      <c r="B351" s="35" t="inlineStr">
        <is>
          <t>DRV_40</t>
        </is>
      </c>
      <c r="C351" s="35" t="inlineStr">
        <is>
          <t>Grogol</t>
        </is>
      </c>
      <c r="D351" s="35" t="inlineStr">
        <is>
          <t>Dedicated LM 2W</t>
        </is>
      </c>
      <c r="E351" s="35" t="n">
        <v>146</v>
      </c>
      <c r="F351" s="35" t="n">
        <v>74</v>
      </c>
      <c r="G351" s="35" t="n">
        <v>72</v>
      </c>
      <c r="H351" s="35" t="n">
        <v>0</v>
      </c>
      <c r="I351" s="35" t="n">
        <f>E351-SUM(F351:H351)</f>
        <v>0</v>
      </c>
      <c r="J351" s="36" t="n">
        <f>IFERROR(F351/E351,0)</f>
        <v>0.506849315068493</v>
      </c>
    </row>
    <row r="352">
      <c r="A352" s="34" t="n">
        <v>46303</v>
      </c>
      <c r="B352" s="35" t="inlineStr">
        <is>
          <t>DRV_43</t>
        </is>
      </c>
      <c r="C352" s="35" t="inlineStr">
        <is>
          <t>Meruyung</t>
        </is>
      </c>
      <c r="D352" s="35" t="inlineStr">
        <is>
          <t>Mitra LM 2W</t>
        </is>
      </c>
      <c r="E352" s="35" t="n">
        <v>104</v>
      </c>
      <c r="F352" s="35" t="n">
        <v>36</v>
      </c>
      <c r="G352" s="35" t="n">
        <v>67</v>
      </c>
      <c r="H352" s="35" t="n">
        <v>1</v>
      </c>
      <c r="I352" s="35" t="n">
        <f>E352-SUM(F352:H352)</f>
        <v>0</v>
      </c>
      <c r="J352" s="36" t="n">
        <f>IFERROR(F352/E352,0)</f>
        <v>0.346153846153846</v>
      </c>
    </row>
    <row r="353">
      <c r="A353" s="34" t="n">
        <v>46303</v>
      </c>
      <c r="B353" s="35" t="inlineStr">
        <is>
          <t>DRV_44</t>
        </is>
      </c>
      <c r="C353" s="35" t="inlineStr">
        <is>
          <t>Pangkalan Jati Lama</t>
        </is>
      </c>
      <c r="D353" s="35" t="inlineStr">
        <is>
          <t>Dedicated LM 2W</t>
        </is>
      </c>
      <c r="E353" s="35" t="n">
        <v>144</v>
      </c>
      <c r="F353" s="35" t="n">
        <v>65</v>
      </c>
      <c r="G353" s="35" t="n">
        <v>79</v>
      </c>
      <c r="H353" s="35" t="n">
        <v>0</v>
      </c>
      <c r="I353" s="35" t="n">
        <f>E353-SUM(F353:H353)</f>
        <v>0</v>
      </c>
      <c r="J353" s="36" t="n">
        <f>IFERROR(F353/E353,0)</f>
        <v>0.451388888888889</v>
      </c>
    </row>
    <row r="354">
      <c r="A354" s="34" t="n">
        <v>46303</v>
      </c>
      <c r="B354" s="35" t="inlineStr">
        <is>
          <t>DRV_46</t>
        </is>
      </c>
      <c r="C354" s="35" t="inlineStr">
        <is>
          <t>Pangkalan Jati Lama</t>
        </is>
      </c>
      <c r="D354" s="35" t="inlineStr">
        <is>
          <t>Mitra LM 2W</t>
        </is>
      </c>
      <c r="E354" s="35" t="n">
        <v>68</v>
      </c>
      <c r="F354" s="35" t="n">
        <v>18</v>
      </c>
      <c r="G354" s="35" t="n">
        <v>50</v>
      </c>
      <c r="H354" s="35" t="n">
        <v>0</v>
      </c>
      <c r="I354" s="35" t="n">
        <f>E354-SUM(F354:H354)</f>
        <v>0</v>
      </c>
      <c r="J354" s="36" t="n">
        <f>IFERROR(F354/E354,0)</f>
        <v>0.264705882352941</v>
      </c>
    </row>
    <row r="355">
      <c r="A355" s="34" t="n">
        <v>46303</v>
      </c>
      <c r="B355" s="35" t="inlineStr">
        <is>
          <t>DRV_47</t>
        </is>
      </c>
      <c r="C355" s="35" t="inlineStr">
        <is>
          <t>Limo</t>
        </is>
      </c>
      <c r="D355" s="35" t="inlineStr">
        <is>
          <t>Dedicated LM 2W</t>
        </is>
      </c>
      <c r="E355" s="35" t="n">
        <v>115</v>
      </c>
      <c r="F355" s="35" t="n">
        <v>43</v>
      </c>
      <c r="G355" s="35" t="n">
        <v>72</v>
      </c>
      <c r="H355" s="35" t="n">
        <v>0</v>
      </c>
      <c r="I355" s="35" t="n">
        <f>E355-SUM(F355:H355)</f>
        <v>0</v>
      </c>
      <c r="J355" s="36" t="n">
        <f>IFERROR(F355/E355,0)</f>
        <v>0.373913043478261</v>
      </c>
    </row>
    <row r="356">
      <c r="A356" s="34" t="n">
        <v>46303</v>
      </c>
      <c r="B356" s="35" t="inlineStr">
        <is>
          <t>DRV_48</t>
        </is>
      </c>
      <c r="C356" s="35" t="inlineStr">
        <is>
          <t>Pangkalan Jati Baru</t>
        </is>
      </c>
      <c r="D356" s="35" t="inlineStr">
        <is>
          <t>Mitra LM 2W</t>
        </is>
      </c>
      <c r="E356" s="35" t="n">
        <v>28</v>
      </c>
      <c r="F356" s="35" t="n">
        <v>0</v>
      </c>
      <c r="G356" s="35" t="n">
        <v>28</v>
      </c>
      <c r="H356" s="35" t="n">
        <v>0</v>
      </c>
      <c r="I356" s="35" t="n">
        <f>E356-SUM(F356:H356)</f>
        <v>0</v>
      </c>
      <c r="J356" s="36" t="n">
        <f>IFERROR(F356/E356,0)</f>
        <v>0</v>
      </c>
    </row>
    <row r="357">
      <c r="A357" s="34" t="n">
        <v>46303</v>
      </c>
      <c r="B357" s="35" t="inlineStr">
        <is>
          <t>DRV_50</t>
        </is>
      </c>
      <c r="C357" s="35" t="inlineStr">
        <is>
          <t>Pangkalan Jati Baru</t>
        </is>
      </c>
      <c r="D357" s="35" t="inlineStr">
        <is>
          <t>Dedicated LM 2W</t>
        </is>
      </c>
      <c r="E357" s="35" t="n">
        <v>146</v>
      </c>
      <c r="F357" s="35" t="n">
        <v>70</v>
      </c>
      <c r="G357" s="35" t="n">
        <v>76</v>
      </c>
      <c r="H357" s="35" t="n">
        <v>0</v>
      </c>
      <c r="I357" s="35" t="n">
        <f>E357-SUM(F357:H357)</f>
        <v>0</v>
      </c>
      <c r="J357" s="36" t="n">
        <f>IFERROR(F357/E357,0)</f>
        <v>0.479452054794521</v>
      </c>
    </row>
    <row r="358">
      <c r="A358" s="34" t="n">
        <v>46303</v>
      </c>
      <c r="B358" s="35" t="inlineStr">
        <is>
          <t>DRV_52</t>
        </is>
      </c>
      <c r="C358" s="35" t="inlineStr">
        <is>
          <t>Grogol</t>
        </is>
      </c>
      <c r="D358" s="35" t="inlineStr">
        <is>
          <t>Dedicated LM 2W</t>
        </is>
      </c>
      <c r="E358" s="35" t="n">
        <v>124</v>
      </c>
      <c r="F358" s="35" t="n">
        <v>43</v>
      </c>
      <c r="G358" s="35" t="n">
        <v>80</v>
      </c>
      <c r="H358" s="35" t="n">
        <v>1</v>
      </c>
      <c r="I358" s="35" t="n">
        <f>E358-SUM(F358:H358)</f>
        <v>0</v>
      </c>
      <c r="J358" s="36" t="n">
        <f>IFERROR(F358/E358,0)</f>
        <v>0.346774193548387</v>
      </c>
    </row>
    <row r="359">
      <c r="A359" s="34" t="n">
        <v>46303</v>
      </c>
      <c r="B359" s="35" t="inlineStr">
        <is>
          <t>DRV_54</t>
        </is>
      </c>
      <c r="C359" s="35" t="inlineStr">
        <is>
          <t>GANDUL</t>
        </is>
      </c>
      <c r="D359" s="35" t="inlineStr">
        <is>
          <t>Dedicated LM 2W</t>
        </is>
      </c>
      <c r="E359" s="35" t="n">
        <v>104</v>
      </c>
      <c r="F359" s="35" t="n">
        <v>59</v>
      </c>
      <c r="G359" s="35" t="n">
        <v>45</v>
      </c>
      <c r="H359" s="35" t="n">
        <v>0</v>
      </c>
      <c r="I359" s="35" t="n">
        <f>E359-SUM(F359:H359)</f>
        <v>0</v>
      </c>
      <c r="J359" s="36" t="n">
        <f>IFERROR(F359/E359,0)</f>
        <v>0.567307692307692</v>
      </c>
    </row>
    <row r="360">
      <c r="A360" s="34" t="n">
        <v>46303</v>
      </c>
      <c r="B360" s="35" t="inlineStr">
        <is>
          <t>DRV_55</t>
        </is>
      </c>
      <c r="C360" s="35" t="inlineStr">
        <is>
          <t>CINERE</t>
        </is>
      </c>
      <c r="D360" s="35" t="inlineStr">
        <is>
          <t>Mitra LM 2W</t>
        </is>
      </c>
      <c r="E360" s="35" t="n">
        <v>104</v>
      </c>
      <c r="F360" s="35" t="n">
        <v>62</v>
      </c>
      <c r="G360" s="35" t="n">
        <v>39</v>
      </c>
      <c r="H360" s="35" t="n">
        <v>3</v>
      </c>
      <c r="I360" s="35" t="n">
        <f>E360-SUM(F360:H360)</f>
        <v>0</v>
      </c>
      <c r="J360" s="36" t="n">
        <f>IFERROR(F360/E360,0)</f>
        <v>0.596153846153846</v>
      </c>
    </row>
    <row r="361">
      <c r="A361" s="34" t="n">
        <v>46303</v>
      </c>
      <c r="B361" s="35" t="inlineStr">
        <is>
          <t>DRV_56</t>
        </is>
      </c>
      <c r="C361" s="35" t="inlineStr">
        <is>
          <t>Pangkalan Jati Baru</t>
        </is>
      </c>
      <c r="D361" s="35" t="inlineStr">
        <is>
          <t>Mitra LM 2W</t>
        </is>
      </c>
      <c r="E361" s="35" t="n">
        <v>102</v>
      </c>
      <c r="F361" s="35" t="n">
        <v>48</v>
      </c>
      <c r="G361" s="35" t="n">
        <v>54</v>
      </c>
      <c r="H361" s="35" t="n">
        <v>0</v>
      </c>
      <c r="I361" s="35" t="n">
        <f>E361-SUM(F361:H361)</f>
        <v>0</v>
      </c>
      <c r="J361" s="36" t="n">
        <f>IFERROR(F361/E361,0)</f>
        <v>0.470588235294118</v>
      </c>
    </row>
    <row r="362">
      <c r="A362" s="34" t="n">
        <v>46303</v>
      </c>
      <c r="B362" s="35" t="inlineStr">
        <is>
          <t>DRV_58</t>
        </is>
      </c>
      <c r="C362" s="35" t="inlineStr">
        <is>
          <t>Krukut</t>
        </is>
      </c>
      <c r="D362" s="35" t="inlineStr">
        <is>
          <t>Mitra LM 2W</t>
        </is>
      </c>
      <c r="E362" s="35" t="n">
        <v>117</v>
      </c>
      <c r="F362" s="35" t="n">
        <v>54</v>
      </c>
      <c r="G362" s="35" t="n">
        <v>61</v>
      </c>
      <c r="H362" s="35" t="n">
        <v>2</v>
      </c>
      <c r="I362" s="35" t="n">
        <f>E362-SUM(F362:H362)</f>
        <v>0</v>
      </c>
      <c r="J362" s="36" t="n">
        <f>IFERROR(F362/E362,0)</f>
        <v>0.461538461538462</v>
      </c>
    </row>
  </sheetData>
  <autoFilter ref="A4:J362"/>
  <mergeCells count="2">
    <mergeCell ref="A1:J1"/>
    <mergeCell ref="A2:J2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H26"/>
  <sheetViews>
    <sheetView showGridLines="0" zoomScale="85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PANDUAN &amp; KERANGKA ANALISIS</t>
        </is>
      </c>
    </row>
    <row r="2" ht="22" customHeight="1">
      <c r="A2" s="2" t="inlineStr">
        <is>
          <t>Cara membaca dashboard, definisi metrik, dan batasan data.</t>
        </is>
      </c>
    </row>
    <row r="4" ht="48" customHeight="1">
      <c r="A4" s="37" t="inlineStr">
        <is>
          <t>Konteks bisnis</t>
        </is>
      </c>
      <c r="B4" s="8" t="n"/>
      <c r="C4" s="38" t="inlineStr">
        <is>
          <t>September 2026 merupakan volume terendah dalam 9 bulan terakhir (di luar masa awal hub). Wima mengaitkannya dengan masalah disiplin pengantaran pada Agustus; Oktober menjadi fase recovery dengan volume yang digenjot kembali.</t>
        </is>
      </c>
      <c r="D4" s="8" t="n"/>
      <c r="E4" s="8" t="n"/>
      <c r="F4" s="8" t="n"/>
      <c r="G4" s="8" t="n"/>
      <c r="H4" s="8" t="n"/>
    </row>
    <row r="6" ht="36" customHeight="1">
      <c r="A6" s="37" t="inlineStr">
        <is>
          <t>Tujuan bisnis</t>
        </is>
      </c>
      <c r="B6" s="8" t="n"/>
      <c r="C6" s="38" t="inlineStr">
        <is>
          <t>Memantau beban OFD, delivery rate, dan failed per hari, zona, serta kurir; mengidentifikasi area yang perlu investigasi operasional.</t>
        </is>
      </c>
      <c r="D6" s="8" t="n"/>
      <c r="E6" s="8" t="n"/>
      <c r="F6" s="8" t="n"/>
      <c r="G6" s="8" t="n"/>
      <c r="H6" s="8" t="n"/>
    </row>
    <row r="8" ht="48" customHeight="1">
      <c r="A8" s="37" t="inlineStr">
        <is>
          <t>Cara pakai</t>
        </is>
      </c>
      <c r="B8" s="8" t="n"/>
      <c r="C8" s="38" t="inlineStr">
        <is>
          <t>1) Pilih rentang tanggal, zona, dan Driver_ID di tab Dashboard. 2) Gunakan Per Zona untuk benchmark area. 3) Gunakan filter tabel Per Driver untuk drill-down. 4) Buka Data bila perlu audit angka.</t>
        </is>
      </c>
      <c r="D8" s="8" t="n"/>
      <c r="E8" s="8" t="n"/>
      <c r="F8" s="8" t="n"/>
      <c r="G8" s="8" t="n"/>
      <c r="H8" s="8" t="n"/>
    </row>
    <row r="10" ht="36" customHeight="1">
      <c r="A10" s="37" t="inlineStr">
        <is>
          <t>Volume</t>
        </is>
      </c>
      <c r="B10" s="8" t="n"/>
      <c r="C10" s="38" t="inlineStr">
        <is>
          <t>Jumlah shipment yang memiliki tanggal Out for Delivery (OFD) pada cohort tersebut.</t>
        </is>
      </c>
      <c r="D10" s="8" t="n"/>
      <c r="E10" s="8" t="n"/>
      <c r="F10" s="8" t="n"/>
      <c r="G10" s="8" t="n"/>
      <c r="H10" s="8" t="n"/>
    </row>
    <row r="12" ht="36" customHeight="1">
      <c r="A12" s="37" t="inlineStr">
        <is>
          <t>Delivery Rate</t>
        </is>
      </c>
      <c r="B12" s="8" t="n"/>
      <c r="C12" s="38" t="inlineStr">
        <is>
          <t>Delivered ÷ Volume. Angka disimpan sebagai rasio dan ditampilkan dalam persen.</t>
        </is>
      </c>
      <c r="D12" s="8" t="n"/>
      <c r="E12" s="8" t="n"/>
      <c r="F12" s="8" t="n"/>
      <c r="G12" s="8" t="n"/>
      <c r="H12" s="8" t="n"/>
    </row>
    <row r="14" ht="36" customHeight="1">
      <c r="A14" s="37" t="inlineStr">
        <is>
          <t>Failed</t>
        </is>
      </c>
      <c r="B14" s="8" t="n"/>
      <c r="C14" s="38" t="inlineStr">
        <is>
          <t>Shipment dengan status yang terklasifikasi gagal/returned pada export sumber.</t>
        </is>
      </c>
      <c r="D14" s="8" t="n"/>
      <c r="E14" s="8" t="n"/>
      <c r="F14" s="8" t="n"/>
      <c r="G14" s="8" t="n"/>
      <c r="H14" s="8" t="n"/>
    </row>
    <row r="16" ht="36" customHeight="1">
      <c r="A16" s="37" t="inlineStr">
        <is>
          <t>Other</t>
        </is>
      </c>
      <c r="B16" s="8" t="n"/>
      <c r="C16" s="38" t="inlineStr">
        <is>
          <t>Selisih Volume − Delivered − Ongoing − Failed. Ada 1 shipment Other pada 5 Oktober, sehingga rekonsiliasi tetap transparan.</t>
        </is>
      </c>
      <c r="D16" s="8" t="n"/>
      <c r="E16" s="8" t="n"/>
      <c r="F16" s="8" t="n"/>
      <c r="G16" s="8" t="n"/>
      <c r="H16" s="8" t="n"/>
    </row>
    <row r="18" ht="36" customHeight="1">
      <c r="A18" s="37" t="inlineStr">
        <is>
          <t>Privasi</t>
        </is>
      </c>
      <c r="B18" s="8" t="n"/>
      <c r="C18" s="38" t="inlineStr">
        <is>
          <t>Nama kurir diganti Driver_ID. Nomor AWB dan data pelanggan tidak dimasukkan.</t>
        </is>
      </c>
      <c r="D18" s="8" t="n"/>
      <c r="E18" s="8" t="n"/>
      <c r="F18" s="8" t="n"/>
      <c r="G18" s="8" t="n"/>
      <c r="H18" s="8" t="n"/>
    </row>
    <row r="20" ht="48" customHeight="1">
      <c r="A20" s="37" t="inlineStr">
        <is>
          <t>Batasan penting</t>
        </is>
      </c>
      <c r="B20" s="8" t="n"/>
      <c r="C20" s="38" t="inlineStr">
        <is>
          <t>Sumber adalah satu export status yang diamati 8 Oktober 2026 sekitar 14:23 WIB, bukan snapshot end-of-day terpisah. Cohort 1–7 Oktober sudah lebih matang; 8 Oktober masih berjalan. Perbandingan antartanggal harus mempertimbangkan cut-off waktu.</t>
        </is>
      </c>
      <c r="D20" s="8" t="n"/>
      <c r="E20" s="8" t="n"/>
      <c r="F20" s="8" t="n"/>
      <c r="G20" s="8" t="n"/>
      <c r="H20" s="8" t="n"/>
    </row>
    <row r="22" ht="36" customHeight="1">
      <c r="A22" s="37" t="inlineStr">
        <is>
          <t>Temuan awal</t>
        </is>
      </c>
      <c r="B22" s="8" t="n"/>
      <c r="C22" s="38" t="inlineStr">
        <is>
          <t>Volume tertinggi: 6 Oktober (5.464). Volume terendah: 5 Oktober (3.369). Pada snapshot, 8 Oktober memiliki 4.732 volume, 2.074 delivered, 2.615 ongoing, dan 43 failed.</t>
        </is>
      </c>
      <c r="D22" s="8" t="n"/>
      <c r="E22" s="8" t="n"/>
      <c r="F22" s="8" t="n"/>
      <c r="G22" s="8" t="n"/>
      <c r="H22" s="8" t="n"/>
    </row>
    <row r="24" ht="48" customHeight="1">
      <c r="A24" s="37" t="inlineStr">
        <is>
          <t>Arah coaching</t>
        </is>
      </c>
      <c r="B24" s="8" t="n"/>
      <c r="C24" s="38" t="inlineStr">
        <is>
          <t>Driver_ID dengan delivery rate di bawah 90% pada snapshot—termasuk DRV_25—dapat diprioritaskan untuk coaching dan investigasi. Karena 8 Oktober masih in-progress, ranking ini adalah sinyal operasional, bukan kesimpulan sebab-akibat.</t>
        </is>
      </c>
      <c r="D24" s="8" t="n"/>
      <c r="E24" s="8" t="n"/>
      <c r="F24" s="8" t="n"/>
      <c r="G24" s="8" t="n"/>
      <c r="H24" s="8" t="n"/>
    </row>
    <row r="26" ht="48" customHeight="1">
      <c r="A26" s="37" t="inlineStr">
        <is>
          <t>Rekomendasi data berikutnya</t>
        </is>
      </c>
      <c r="B26" s="8" t="n"/>
      <c r="C26" s="38" t="inlineStr">
        <is>
          <t>Simpan snapshot pada jam cut-off yang konsisten setiap hari. Tambahkan alasan failed, timestamp delivered, dan target per zona agar analisis dapat mengukur SLA serta akar masalah.</t>
        </is>
      </c>
      <c r="D26" s="8" t="n"/>
      <c r="E26" s="8" t="n"/>
      <c r="F26" s="8" t="n"/>
      <c r="G26" s="8" t="n"/>
      <c r="H26" s="8" t="n"/>
    </row>
  </sheetData>
  <mergeCells count="26">
    <mergeCell ref="C26:H26"/>
    <mergeCell ref="C10:H10"/>
    <mergeCell ref="C16:H16"/>
    <mergeCell ref="A24:B24"/>
    <mergeCell ref="C22:H22"/>
    <mergeCell ref="A1:H1"/>
    <mergeCell ref="C12:H12"/>
    <mergeCell ref="A6:B6"/>
    <mergeCell ref="A16:B16"/>
    <mergeCell ref="C8:H8"/>
    <mergeCell ref="A18:B18"/>
    <mergeCell ref="A12:B12"/>
    <mergeCell ref="A26:B26"/>
    <mergeCell ref="A2:H2"/>
    <mergeCell ref="A14:B14"/>
    <mergeCell ref="C18:H18"/>
    <mergeCell ref="A8:B8"/>
    <mergeCell ref="A22:B22"/>
    <mergeCell ref="A4:B4"/>
    <mergeCell ref="C6:H6"/>
    <mergeCell ref="A20:B20"/>
    <mergeCell ref="C24:H24"/>
    <mergeCell ref="C14:H14"/>
    <mergeCell ref="A10:B10"/>
    <mergeCell ref="C4:H4"/>
    <mergeCell ref="C20:H20"/>
  </mergeCells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Driver</t>
        </is>
      </c>
    </row>
    <row r="2">
      <c r="A2" t="inlineStr">
        <is>
          <t>Semua</t>
        </is>
      </c>
      <c r="B2" t="inlineStr">
        <is>
          <t>Semua</t>
        </is>
      </c>
    </row>
    <row r="3">
      <c r="A3" t="inlineStr">
        <is>
          <t>CINERE</t>
        </is>
      </c>
      <c r="B3" t="inlineStr">
        <is>
          <t>DRV_02</t>
        </is>
      </c>
    </row>
    <row r="4">
      <c r="A4" t="inlineStr">
        <is>
          <t>GANDUL</t>
        </is>
      </c>
      <c r="B4" t="inlineStr">
        <is>
          <t>DRV_03</t>
        </is>
      </c>
    </row>
    <row r="5">
      <c r="A5" t="inlineStr">
        <is>
          <t>Grogol</t>
        </is>
      </c>
      <c r="B5" t="inlineStr">
        <is>
          <t>DRV_04</t>
        </is>
      </c>
    </row>
    <row r="6">
      <c r="A6" t="inlineStr">
        <is>
          <t>Krukut</t>
        </is>
      </c>
      <c r="B6" t="inlineStr">
        <is>
          <t>DRV_05</t>
        </is>
      </c>
    </row>
    <row r="7">
      <c r="A7" t="inlineStr">
        <is>
          <t>Limo</t>
        </is>
      </c>
      <c r="B7" t="inlineStr">
        <is>
          <t>DRV_06</t>
        </is>
      </c>
    </row>
    <row r="8">
      <c r="A8" t="inlineStr">
        <is>
          <t>Meruyung</t>
        </is>
      </c>
      <c r="B8" t="inlineStr">
        <is>
          <t>DRV_07</t>
        </is>
      </c>
    </row>
    <row r="9">
      <c r="A9" t="inlineStr">
        <is>
          <t>Pangkalan Jati Baru</t>
        </is>
      </c>
      <c r="B9" t="inlineStr">
        <is>
          <t>DRV_08</t>
        </is>
      </c>
    </row>
    <row r="10">
      <c r="A10" t="inlineStr">
        <is>
          <t>Pangkalan Jati Lama</t>
        </is>
      </c>
      <c r="B10" t="inlineStr">
        <is>
          <t>DRV_09</t>
        </is>
      </c>
    </row>
    <row r="11">
      <c r="B11" t="inlineStr">
        <is>
          <t>DRV_10</t>
        </is>
      </c>
    </row>
    <row r="12">
      <c r="B12" t="inlineStr">
        <is>
          <t>DRV_11</t>
        </is>
      </c>
    </row>
    <row r="13">
      <c r="B13" t="inlineStr">
        <is>
          <t>DRV_12</t>
        </is>
      </c>
    </row>
    <row r="14">
      <c r="B14" t="inlineStr">
        <is>
          <t>DRV_13</t>
        </is>
      </c>
    </row>
    <row r="15">
      <c r="B15" t="inlineStr">
        <is>
          <t>DRV_14</t>
        </is>
      </c>
    </row>
    <row r="16">
      <c r="B16" t="inlineStr">
        <is>
          <t>DRV_15</t>
        </is>
      </c>
    </row>
    <row r="17">
      <c r="B17" t="inlineStr">
        <is>
          <t>DRV_16</t>
        </is>
      </c>
    </row>
    <row r="18">
      <c r="B18" t="inlineStr">
        <is>
          <t>DRV_17</t>
        </is>
      </c>
    </row>
    <row r="19">
      <c r="B19" t="inlineStr">
        <is>
          <t>DRV_18</t>
        </is>
      </c>
    </row>
    <row r="20">
      <c r="B20" t="inlineStr">
        <is>
          <t>DRV_19</t>
        </is>
      </c>
    </row>
    <row r="21">
      <c r="B21" t="inlineStr">
        <is>
          <t>DRV_20</t>
        </is>
      </c>
    </row>
    <row r="22">
      <c r="B22" t="inlineStr">
        <is>
          <t>DRV_21</t>
        </is>
      </c>
    </row>
    <row r="23">
      <c r="B23" t="inlineStr">
        <is>
          <t>DRV_22</t>
        </is>
      </c>
    </row>
    <row r="24">
      <c r="B24" t="inlineStr">
        <is>
          <t>DRV_23</t>
        </is>
      </c>
    </row>
    <row r="25">
      <c r="B25" t="inlineStr">
        <is>
          <t>DRV_24</t>
        </is>
      </c>
    </row>
    <row r="26">
      <c r="B26" t="inlineStr">
        <is>
          <t>DRV_25</t>
        </is>
      </c>
    </row>
    <row r="27">
      <c r="B27" t="inlineStr">
        <is>
          <t>DRV_26</t>
        </is>
      </c>
    </row>
    <row r="28">
      <c r="B28" t="inlineStr">
        <is>
          <t>DRV_27</t>
        </is>
      </c>
    </row>
    <row r="29">
      <c r="B29" t="inlineStr">
        <is>
          <t>DRV_28</t>
        </is>
      </c>
    </row>
    <row r="30">
      <c r="B30" t="inlineStr">
        <is>
          <t>DRV_29</t>
        </is>
      </c>
    </row>
    <row r="31">
      <c r="B31" t="inlineStr">
        <is>
          <t>DRV_30</t>
        </is>
      </c>
    </row>
    <row r="32">
      <c r="B32" t="inlineStr">
        <is>
          <t>DRV_31</t>
        </is>
      </c>
    </row>
    <row r="33">
      <c r="B33" t="inlineStr">
        <is>
          <t>DRV_32</t>
        </is>
      </c>
    </row>
    <row r="34">
      <c r="B34" t="inlineStr">
        <is>
          <t>DRV_33</t>
        </is>
      </c>
    </row>
    <row r="35">
      <c r="B35" t="inlineStr">
        <is>
          <t>DRV_34</t>
        </is>
      </c>
    </row>
    <row r="36">
      <c r="B36" t="inlineStr">
        <is>
          <t>DRV_35</t>
        </is>
      </c>
    </row>
    <row r="37">
      <c r="B37" t="inlineStr">
        <is>
          <t>DRV_36</t>
        </is>
      </c>
    </row>
    <row r="38">
      <c r="B38" t="inlineStr">
        <is>
          <t>DRV_37</t>
        </is>
      </c>
    </row>
    <row r="39">
      <c r="B39" t="inlineStr">
        <is>
          <t>DRV_38</t>
        </is>
      </c>
    </row>
    <row r="40">
      <c r="B40" t="inlineStr">
        <is>
          <t>DRV_39</t>
        </is>
      </c>
    </row>
    <row r="41">
      <c r="B41" t="inlineStr">
        <is>
          <t>DRV_40</t>
        </is>
      </c>
    </row>
    <row r="42">
      <c r="B42" t="inlineStr">
        <is>
          <t>DRV_42</t>
        </is>
      </c>
    </row>
    <row r="43">
      <c r="B43" t="inlineStr">
        <is>
          <t>DRV_43</t>
        </is>
      </c>
    </row>
    <row r="44">
      <c r="B44" t="inlineStr">
        <is>
          <t>DRV_44</t>
        </is>
      </c>
    </row>
    <row r="45">
      <c r="B45" t="inlineStr">
        <is>
          <t>DRV_45</t>
        </is>
      </c>
    </row>
    <row r="46">
      <c r="B46" t="inlineStr">
        <is>
          <t>DRV_46</t>
        </is>
      </c>
    </row>
    <row r="47">
      <c r="B47" t="inlineStr">
        <is>
          <t>DRV_47</t>
        </is>
      </c>
    </row>
    <row r="48">
      <c r="B48" t="inlineStr">
        <is>
          <t>DRV_48</t>
        </is>
      </c>
    </row>
    <row r="49">
      <c r="B49" t="inlineStr">
        <is>
          <t>DRV_49</t>
        </is>
      </c>
    </row>
    <row r="50">
      <c r="B50" t="inlineStr">
        <is>
          <t>DRV_50</t>
        </is>
      </c>
    </row>
    <row r="51">
      <c r="B51" t="inlineStr">
        <is>
          <t>DRV_51</t>
        </is>
      </c>
    </row>
    <row r="52">
      <c r="B52" t="inlineStr">
        <is>
          <t>DRV_52</t>
        </is>
      </c>
    </row>
    <row r="53">
      <c r="B53" t="inlineStr">
        <is>
          <t>DRV_54</t>
        </is>
      </c>
    </row>
    <row r="54">
      <c r="B54" t="inlineStr">
        <is>
          <t>DRV_55</t>
        </is>
      </c>
    </row>
    <row r="55">
      <c r="B55" t="inlineStr">
        <is>
          <t>DRV_56</t>
        </is>
      </c>
    </row>
    <row r="56">
      <c r="B56" t="inlineStr">
        <is>
          <t>DRV_57</t>
        </is>
      </c>
    </row>
    <row r="57">
      <c r="B57" t="inlineStr">
        <is>
          <t>DRV_58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Wima Rizqullah</dc:creator>
  <dc:title xmlns:dc="http://purl.org/dc/elements/1.1/">Dashboard Performa Kurir 1–8 Oktober 2026</dc:title>
  <dc:subject xmlns:dc="http://purl.org/dc/elements/1.1/">Portofolio analisis performa kurir berbasis data OFD anonim</dc:subject>
  <dcterms:created xmlns:dcterms="http://purl.org/dc/terms/" xmlns:xsi="http://www.w3.org/2001/XMLSchema-instance" xsi:type="dcterms:W3CDTF">2026-10-09T03:46:46+00:00Z</dcterms:created>
  <dcterms:modified xmlns:dcterms="http://purl.org/dc/terms/" xmlns:xsi="http://www.w3.org/2001/XMLSchema-instance" xsi:type="dcterms:W3CDTF">2026-10-09T03:46:46+00:00Z</dcterms:modified>
</cp:coreProperties>
</file>